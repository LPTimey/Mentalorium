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E9AD752D-3AC4-AF4D-A3FC-F6C85801B389}" xr6:coauthVersionLast="47" xr6:coauthVersionMax="47" xr10:uidLastSave="{00000000-0000-0000-0000-000000000000}"/>
  <bookViews>
    <workbookView xWindow="18200" yWindow="780" windowWidth="17800" windowHeight="22600" activeTab="1" xr2:uid="{AB478075-2447-43A0-AB15-1AB1ED7419A5}"/>
  </bookViews>
  <sheets>
    <sheet name="Read_First" sheetId="1" r:id="rId1"/>
    <sheet name="Data_Items" sheetId="2" r:id="rId2"/>
    <sheet name="Data_Importance" sheetId="3" r:id="rId3"/>
    <sheet name="Means" sheetId="5" r:id="rId4"/>
    <sheet name="Consistency" sheetId="8" r:id="rId5"/>
    <sheet name="KPI" sheetId="9" r:id="rId6"/>
    <sheet name="Texts" sheetId="4" r:id="rId7"/>
    <sheet name="Graphics" sheetId="11" r:id="rId8"/>
    <sheet name="Texts_German"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I909" i="9"/>
  <c r="G910" i="9"/>
  <c r="K910" i="9" s="1"/>
  <c r="E911" i="9"/>
  <c r="K911" i="9" s="1"/>
  <c r="C912" i="9"/>
  <c r="K912" i="9" s="1"/>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I925" i="9"/>
  <c r="G926" i="9"/>
  <c r="K926" i="9" s="1"/>
  <c r="E927" i="9"/>
  <c r="K927" i="9" s="1"/>
  <c r="C928" i="9"/>
  <c r="K928" i="9" s="1"/>
  <c r="A929" i="9"/>
  <c r="I929" i="9"/>
  <c r="G930" i="9"/>
  <c r="K930" i="9" s="1"/>
  <c r="E931" i="9"/>
  <c r="K931" i="9" s="1"/>
  <c r="C932" i="9"/>
  <c r="K932" i="9" s="1"/>
  <c r="A933" i="9"/>
  <c r="I933" i="9"/>
  <c r="G934" i="9"/>
  <c r="K934" i="9" s="1"/>
  <c r="E935" i="9"/>
  <c r="K935" i="9" s="1"/>
  <c r="C936" i="9"/>
  <c r="K936" i="9" s="1"/>
  <c r="K829" i="9"/>
  <c r="K833" i="9"/>
  <c r="K837" i="9"/>
  <c r="K841" i="9"/>
  <c r="K845" i="9"/>
  <c r="K849" i="9"/>
  <c r="K853" i="9"/>
  <c r="K857" i="9"/>
  <c r="K861" i="9"/>
  <c r="K865" i="9"/>
  <c r="K916" i="9"/>
  <c r="A937" i="9"/>
  <c r="I937" i="9"/>
  <c r="G938" i="9"/>
  <c r="K938" i="9" s="1"/>
  <c r="E939" i="9"/>
  <c r="K939" i="9" s="1"/>
  <c r="C940" i="9"/>
  <c r="K940" i="9" s="1"/>
  <c r="A941" i="9"/>
  <c r="I941" i="9"/>
  <c r="G942" i="9"/>
  <c r="K942" i="9" s="1"/>
  <c r="E943" i="9"/>
  <c r="K943" i="9" s="1"/>
  <c r="C944" i="9"/>
  <c r="K944" i="9" s="1"/>
  <c r="A945" i="9"/>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I969" i="9"/>
  <c r="G970" i="9"/>
  <c r="K970" i="9" s="1"/>
  <c r="E971" i="9"/>
  <c r="K971" i="9" s="1"/>
  <c r="C972" i="9"/>
  <c r="K972" i="9" s="1"/>
  <c r="A973" i="9"/>
  <c r="I973" i="9"/>
  <c r="G974" i="9"/>
  <c r="K974" i="9" s="1"/>
  <c r="E975" i="9"/>
  <c r="K975" i="9" s="1"/>
  <c r="C976" i="9"/>
  <c r="K976" i="9" s="1"/>
  <c r="A977" i="9"/>
  <c r="I977" i="9"/>
  <c r="G978" i="9"/>
  <c r="K978" i="9" s="1"/>
  <c r="E979" i="9"/>
  <c r="K979" i="9" s="1"/>
  <c r="C980" i="9"/>
  <c r="K980" i="9" s="1"/>
  <c r="A981" i="9"/>
  <c r="I981" i="9"/>
  <c r="G982" i="9"/>
  <c r="K982" i="9" s="1"/>
  <c r="E983" i="9"/>
  <c r="K983" i="9" s="1"/>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69" i="9" l="1"/>
  <c r="K945" i="9"/>
  <c r="K5" i="9"/>
  <c r="K937" i="9"/>
  <c r="K909" i="9"/>
  <c r="K925" i="9"/>
  <c r="K877" i="9"/>
  <c r="K893" i="9"/>
  <c r="K973" i="9"/>
  <c r="K977" i="9"/>
  <c r="K1001" i="9"/>
  <c r="K941" i="9"/>
  <c r="K929" i="9"/>
  <c r="K897" i="9"/>
  <c r="K921" i="9"/>
  <c r="K889" i="9"/>
  <c r="K989" i="9"/>
  <c r="K957" i="9"/>
  <c r="K993" i="9"/>
  <c r="K961" i="9"/>
  <c r="K913" i="9"/>
  <c r="K881" i="9"/>
  <c r="K981" i="9"/>
  <c r="K901" i="9"/>
  <c r="K953" i="9"/>
  <c r="K997" i="9"/>
  <c r="K965" i="9"/>
  <c r="K917" i="9"/>
  <c r="K885" i="9"/>
  <c r="K949" i="9"/>
  <c r="K985" i="9"/>
  <c r="K873" i="9"/>
  <c r="K933" i="9"/>
  <c r="K869" i="9"/>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I1" i="9" l="1"/>
  <c r="K1" i="9"/>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<sst xmlns="http://schemas.openxmlformats.org/spreadsheetml/2006/main" count="585" uniqueCount="486">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</sst>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2" fillId="0" borderId="0" xfId="0" applyFont="1" applyAlignment="1">
      <alignment horizontal="left"/>
    </xf>
    <xf numFmtId="0" fontId="0" fillId="2" borderId="1" xfId="0" applyFill="1" applyBorder="1" applyAlignment="1">
      <alignment horizontal="center"/>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0.49865228256237759</c:v>
                  </c:pt>
                  <c:pt idx="1">
                    <c:v>1.1865673529985292</c:v>
                  </c:pt>
                  <c:pt idx="2">
                    <c:v>1.1988551313593836</c:v>
                  </c:pt>
                  <c:pt idx="3">
                    <c:v>1.2556137105052694</c:v>
                  </c:pt>
                  <c:pt idx="4">
                    <c:v>0.474279864779175</c:v>
                  </c:pt>
                  <c:pt idx="5">
                    <c:v>1.0347437700166091</c:v>
                  </c:pt>
                  <c:pt idx="6">
                    <c:v>0</c:v>
                  </c:pt>
                  <c:pt idx="7">
                    <c:v>0</c:v>
                  </c:pt>
                  <c:pt idx="8">
                    <c:v>0</c:v>
                  </c:pt>
                  <c:pt idx="9">
                    <c:v>0</c:v>
                  </c:pt>
                </c:numCache>
              </c:numRef>
            </c:plus>
            <c:minus>
              <c:numRef>
                <c:f>Means!$F$6:$F$15</c:f>
                <c:numCache>
                  <c:formatCode>General</c:formatCode>
                  <c:ptCount val="10"/>
                  <c:pt idx="0">
                    <c:v>0.49865228256237759</c:v>
                  </c:pt>
                  <c:pt idx="1">
                    <c:v>1.1865673529985292</c:v>
                  </c:pt>
                  <c:pt idx="2">
                    <c:v>1.1988551313593836</c:v>
                  </c:pt>
                  <c:pt idx="3">
                    <c:v>1.2556137105052694</c:v>
                  </c:pt>
                  <c:pt idx="4">
                    <c:v>0.474279864779175</c:v>
                  </c:pt>
                  <c:pt idx="5">
                    <c:v>1.0347437700166091</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2.5277777777777777</c:v>
                </c:pt>
                <c:pt idx="1">
                  <c:v>8.3333333333333037E-2</c:v>
                </c:pt>
                <c:pt idx="2">
                  <c:v>0.72222222222222232</c:v>
                </c:pt>
                <c:pt idx="3">
                  <c:v>-2.7777777777777679E-2</c:v>
                </c:pt>
                <c:pt idx="4">
                  <c:v>2.5277777777777777</c:v>
                </c:pt>
                <c:pt idx="5">
                  <c:v>-0.86111111111111116</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abSelected="1" topLeftCell="K1" zoomScale="110" workbookViewId="0">
      <selection activeCell="T11" sqref="T11"/>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9" t="s">
        <v>175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53" x14ac:dyDescent="0.2">
      <c r="A2" s="21" t="s">
        <v>171</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R2" s="17" t="s">
        <v>172</v>
      </c>
      <c r="AS2" s="17"/>
      <c r="AT2" s="17"/>
      <c r="AU2" s="17"/>
      <c r="AV2" s="17"/>
      <c r="AW2" s="17"/>
      <c r="AX2" s="17"/>
      <c r="AY2" s="17"/>
      <c r="AZ2" s="17"/>
      <c r="BA2" s="17"/>
    </row>
    <row r="3" spans="1:53" x14ac:dyDescent="0.2">
      <c r="A3" s="18" t="s">
        <v>192</v>
      </c>
      <c r="B3" s="18"/>
      <c r="C3" s="18"/>
      <c r="D3" s="18"/>
      <c r="E3" s="18" t="s">
        <v>194</v>
      </c>
      <c r="F3" s="18"/>
      <c r="G3" s="18"/>
      <c r="H3" s="18"/>
      <c r="I3" s="18" t="s">
        <v>484</v>
      </c>
      <c r="J3" s="18"/>
      <c r="K3" s="18"/>
      <c r="L3" s="18"/>
      <c r="M3" s="18" t="s">
        <v>485</v>
      </c>
      <c r="N3" s="18"/>
      <c r="O3" s="18"/>
      <c r="P3" s="18"/>
      <c r="Q3" s="18" t="s">
        <v>318</v>
      </c>
      <c r="R3" s="18"/>
      <c r="S3" s="18"/>
      <c r="T3" s="18"/>
      <c r="U3" s="18" t="s">
        <v>396</v>
      </c>
      <c r="V3" s="18"/>
      <c r="W3" s="18"/>
      <c r="X3" s="18"/>
      <c r="Y3" s="18" t="s">
        <v>180</v>
      </c>
      <c r="Z3" s="18"/>
      <c r="AA3" s="18"/>
      <c r="AB3" s="18"/>
      <c r="AC3" s="18" t="s">
        <v>180</v>
      </c>
      <c r="AD3" s="18"/>
      <c r="AE3" s="18"/>
      <c r="AF3" s="18"/>
      <c r="AG3" s="18" t="s">
        <v>180</v>
      </c>
      <c r="AH3" s="18"/>
      <c r="AI3" s="18"/>
      <c r="AJ3" s="18"/>
      <c r="AK3" s="18" t="s">
        <v>180</v>
      </c>
      <c r="AL3" s="18"/>
      <c r="AM3" s="18"/>
      <c r="AN3" s="18"/>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6</v>
      </c>
      <c r="B4" s="16">
        <v>5</v>
      </c>
      <c r="C4" s="16">
        <v>6</v>
      </c>
      <c r="D4" s="16">
        <v>7</v>
      </c>
      <c r="E4" s="16">
        <v>3</v>
      </c>
      <c r="F4" s="16">
        <v>1</v>
      </c>
      <c r="G4" s="16">
        <v>2</v>
      </c>
      <c r="H4" s="16">
        <v>2</v>
      </c>
      <c r="I4" s="16">
        <v>5</v>
      </c>
      <c r="J4" s="16">
        <v>3</v>
      </c>
      <c r="K4" s="16">
        <v>3</v>
      </c>
      <c r="L4" s="16">
        <v>2</v>
      </c>
      <c r="M4" s="16">
        <v>2</v>
      </c>
      <c r="N4" s="16">
        <v>1</v>
      </c>
      <c r="O4" s="16">
        <v>3</v>
      </c>
      <c r="P4" s="16">
        <v>1</v>
      </c>
      <c r="Q4" s="16">
        <v>6</v>
      </c>
      <c r="R4" s="16">
        <v>5</v>
      </c>
      <c r="S4" s="16">
        <v>6</v>
      </c>
      <c r="T4" s="16">
        <v>6</v>
      </c>
      <c r="U4" s="16">
        <v>1</v>
      </c>
      <c r="V4" s="16">
        <v>2</v>
      </c>
      <c r="W4" s="16">
        <v>2</v>
      </c>
      <c r="X4" s="16">
        <v>4</v>
      </c>
      <c r="Y4" s="1"/>
      <c r="Z4" s="1"/>
      <c r="AA4" s="1"/>
      <c r="AB4" s="1"/>
      <c r="AC4" s="1"/>
      <c r="AD4" s="1"/>
      <c r="AE4" s="1"/>
      <c r="AF4" s="1"/>
      <c r="AG4" s="1"/>
      <c r="AH4" s="1"/>
      <c r="AI4" s="1"/>
      <c r="AJ4" s="1"/>
      <c r="AK4" s="1"/>
      <c r="AL4" s="1"/>
      <c r="AM4" s="1"/>
      <c r="AN4" s="1"/>
      <c r="AO4" s="1"/>
      <c r="AR4" s="1">
        <f>IF(COUNTA(A4:D4)&gt;0,AVERAGE(A4:D4),"")</f>
        <v>6</v>
      </c>
      <c r="AS4" s="1">
        <f>IF(COUNTA(E4:H4)&gt;0,AVERAGE(E4:H4),"")</f>
        <v>2</v>
      </c>
      <c r="AT4" s="1">
        <f>IF(COUNTA(I4:K4)&gt;0,AVERAGE(I4:K4),"")</f>
        <v>3.6666666666666665</v>
      </c>
      <c r="AU4" s="1">
        <f>IF(COUNTA(L4:P4)&gt;0,AVERAGE(L4:P4),"")</f>
        <v>1.8</v>
      </c>
      <c r="AV4" s="1">
        <f>IF(COUNTA(Q4:T4)&gt;0,AVERAGE(Q4:T4),"")</f>
        <v>5.75</v>
      </c>
      <c r="AW4" s="1">
        <f>IF(COUNTA(U4:X4)&gt;0,AVERAGE(U4:X4),"")</f>
        <v>2.25</v>
      </c>
      <c r="AX4" s="1" t="str">
        <f>IF(COUNTA(Y4:AB4)&gt;0,AVERAGE(Y4:AB4),"")</f>
        <v/>
      </c>
      <c r="AY4" s="1" t="str">
        <f>IF(COUNTA(AC4:AF4)&gt;0,AVERAGE(AC4:AF4),"")</f>
        <v/>
      </c>
      <c r="AZ4" s="1" t="str">
        <f>IF(COUNTA(AG4:AJ4)&gt;0,AVERAGE(AG4:AJ4),"")</f>
        <v/>
      </c>
      <c r="BA4" s="1" t="str">
        <f>IF(COUNTA(AK4:AN4)&gt;0,AVERAGE(AK4:AN4),"")</f>
        <v/>
      </c>
    </row>
    <row r="5" spans="1:53" x14ac:dyDescent="0.2">
      <c r="A5" s="16">
        <v>7</v>
      </c>
      <c r="B5" s="16">
        <v>7</v>
      </c>
      <c r="C5" s="16">
        <v>7</v>
      </c>
      <c r="D5" s="16">
        <v>6</v>
      </c>
      <c r="E5" s="16">
        <v>6</v>
      </c>
      <c r="F5" s="16">
        <v>4</v>
      </c>
      <c r="G5" s="16">
        <v>5</v>
      </c>
      <c r="H5" s="16">
        <v>5</v>
      </c>
      <c r="I5" s="16">
        <v>5</v>
      </c>
      <c r="J5" s="16">
        <v>6</v>
      </c>
      <c r="K5" s="16">
        <v>6</v>
      </c>
      <c r="L5" s="16">
        <v>6</v>
      </c>
      <c r="M5" s="16">
        <v>6</v>
      </c>
      <c r="N5" s="16">
        <v>5</v>
      </c>
      <c r="O5" s="16">
        <v>5</v>
      </c>
      <c r="P5" s="16">
        <v>4</v>
      </c>
      <c r="Q5" s="16">
        <v>7</v>
      </c>
      <c r="R5" s="16">
        <v>7</v>
      </c>
      <c r="S5" s="16">
        <v>7</v>
      </c>
      <c r="T5" s="16">
        <v>7</v>
      </c>
      <c r="U5" s="16">
        <v>3</v>
      </c>
      <c r="V5" s="16">
        <v>4</v>
      </c>
      <c r="W5" s="16">
        <v>6</v>
      </c>
      <c r="X5" s="16">
        <v>5</v>
      </c>
      <c r="Y5" s="1"/>
      <c r="Z5" s="1"/>
      <c r="AA5" s="1"/>
      <c r="AB5" s="1"/>
      <c r="AC5" s="1"/>
      <c r="AD5" s="1"/>
      <c r="AE5" s="1"/>
      <c r="AF5" s="1"/>
      <c r="AG5" s="1"/>
      <c r="AH5" s="1"/>
      <c r="AI5" s="1"/>
      <c r="AJ5" s="1"/>
      <c r="AK5" s="1"/>
      <c r="AL5" s="1"/>
      <c r="AM5" s="1"/>
      <c r="AN5" s="1"/>
      <c r="AO5" s="1"/>
      <c r="AR5" s="1">
        <f t="shared" ref="AR5:AR68" si="0">IF(COUNTA(A5:D5)&gt;0,AVERAGE(A5:D5),"")</f>
        <v>6.75</v>
      </c>
      <c r="AS5" s="1">
        <f t="shared" ref="AS5:AS68" si="1">IF(COUNTA(E5:H5)&gt;0,AVERAGE(E5:H5),"")</f>
        <v>5</v>
      </c>
      <c r="AT5" s="1">
        <f>IF(COUNTA(I5:K5)&gt;0,AVERAGE(I5:K5),"")</f>
        <v>5.666666666666667</v>
      </c>
      <c r="AU5" s="1">
        <f>IF(COUNTA(L5:P5)&gt;0,AVERAGE(L5:P5),"")</f>
        <v>5.2</v>
      </c>
      <c r="AV5" s="1">
        <f t="shared" ref="AV5:AV68" si="2">IF(COUNTA(Q5:T5)&gt;0,AVERAGE(Q5:T5),"")</f>
        <v>7</v>
      </c>
      <c r="AW5" s="1">
        <f t="shared" ref="AW5:AW68" si="3">IF(COUNTA(U5:X5)&gt;0,AVERAGE(U5:X5),"")</f>
        <v>4.5</v>
      </c>
      <c r="AX5" s="1" t="str">
        <f t="shared" ref="AX5:AX68" si="4">IF(COUNTA(Y5:AB5)&gt;0,AVERAGE(Y5:AB5),"")</f>
        <v/>
      </c>
      <c r="AY5" s="1" t="str">
        <f t="shared" ref="AY5:AY68" si="5">IF(COUNTA(AC5:AF5)&gt;0,AVERAGE(AC5:AF5),"")</f>
        <v/>
      </c>
      <c r="AZ5" s="1" t="str">
        <f t="shared" ref="AZ5:AZ68" si="6">IF(COUNTA(AG5:AJ5)&gt;0,AVERAGE(AG5:AJ5),"")</f>
        <v/>
      </c>
      <c r="BA5" s="1" t="str">
        <f t="shared" ref="BA5:BA68" si="7">IF(COUNTA(AK5:AN5)&gt;0,AVERAGE(AK5:AN5),"")</f>
        <v/>
      </c>
    </row>
    <row r="6" spans="1:53" x14ac:dyDescent="0.2">
      <c r="A6" s="16">
        <v>7</v>
      </c>
      <c r="B6" s="16">
        <v>7</v>
      </c>
      <c r="C6" s="16">
        <v>7</v>
      </c>
      <c r="D6" s="16">
        <v>7</v>
      </c>
      <c r="E6" s="16">
        <v>2</v>
      </c>
      <c r="F6" s="16">
        <v>6</v>
      </c>
      <c r="G6" s="16">
        <v>2</v>
      </c>
      <c r="H6" s="16">
        <v>2</v>
      </c>
      <c r="I6" s="16">
        <v>7</v>
      </c>
      <c r="J6" s="16">
        <v>7</v>
      </c>
      <c r="K6" s="16">
        <v>5</v>
      </c>
      <c r="L6" s="16">
        <v>6</v>
      </c>
      <c r="M6" s="16">
        <v>2</v>
      </c>
      <c r="N6" s="16">
        <v>2</v>
      </c>
      <c r="O6" s="16">
        <v>2</v>
      </c>
      <c r="P6" s="16">
        <v>2</v>
      </c>
      <c r="Q6" s="16">
        <v>7</v>
      </c>
      <c r="R6" s="16">
        <v>7</v>
      </c>
      <c r="S6" s="16">
        <v>7</v>
      </c>
      <c r="T6" s="16">
        <v>7</v>
      </c>
      <c r="U6" s="16">
        <v>6</v>
      </c>
      <c r="V6" s="16">
        <v>6</v>
      </c>
      <c r="W6" s="16">
        <v>6</v>
      </c>
      <c r="X6" s="16">
        <v>3</v>
      </c>
      <c r="Y6" s="1"/>
      <c r="Z6" s="1"/>
      <c r="AA6" s="1"/>
      <c r="AB6" s="1"/>
      <c r="AC6" s="1"/>
      <c r="AD6" s="1"/>
      <c r="AE6" s="1"/>
      <c r="AF6" s="1"/>
      <c r="AG6" s="1"/>
      <c r="AH6" s="1"/>
      <c r="AI6" s="1"/>
      <c r="AJ6" s="1"/>
      <c r="AK6" s="1"/>
      <c r="AL6" s="1"/>
      <c r="AM6" s="1"/>
      <c r="AN6" s="1"/>
      <c r="AO6" s="1"/>
      <c r="AR6" s="1">
        <f t="shared" si="0"/>
        <v>7</v>
      </c>
      <c r="AS6" s="1">
        <f t="shared" si="1"/>
        <v>3</v>
      </c>
      <c r="AT6" s="1">
        <f>IF(COUNTA(I6:K6)&gt;0,AVERAGE(I6:K6),"")</f>
        <v>6.333333333333333</v>
      </c>
      <c r="AU6" s="1">
        <f>IF(COUNTA(L6:P6)&gt;0,AVERAGE(L6:P6),"")</f>
        <v>2.8</v>
      </c>
      <c r="AV6" s="1">
        <f t="shared" si="2"/>
        <v>7</v>
      </c>
      <c r="AW6" s="1">
        <f t="shared" si="3"/>
        <v>5.25</v>
      </c>
      <c r="AX6" s="1" t="str">
        <f t="shared" si="4"/>
        <v/>
      </c>
      <c r="AY6" s="1" t="str">
        <f t="shared" si="5"/>
        <v/>
      </c>
      <c r="AZ6" s="1" t="str">
        <f t="shared" si="6"/>
        <v/>
      </c>
      <c r="BA6" s="1" t="str">
        <f t="shared" si="7"/>
        <v/>
      </c>
    </row>
    <row r="7" spans="1:53" x14ac:dyDescent="0.2">
      <c r="A7" s="16">
        <v>6</v>
      </c>
      <c r="B7" s="16">
        <v>5</v>
      </c>
      <c r="C7" s="16">
        <v>5</v>
      </c>
      <c r="D7" s="16">
        <v>4</v>
      </c>
      <c r="E7" s="16">
        <v>4</v>
      </c>
      <c r="F7" s="16">
        <v>5</v>
      </c>
      <c r="G7" s="16">
        <v>4</v>
      </c>
      <c r="H7" s="16">
        <v>4</v>
      </c>
      <c r="I7" s="16">
        <v>5</v>
      </c>
      <c r="J7" s="16">
        <v>5</v>
      </c>
      <c r="K7" s="16">
        <v>5</v>
      </c>
      <c r="L7" s="16">
        <v>5</v>
      </c>
      <c r="M7" s="16">
        <v>5</v>
      </c>
      <c r="N7" s="16">
        <v>4</v>
      </c>
      <c r="O7" s="16">
        <v>4</v>
      </c>
      <c r="P7" s="16">
        <v>5</v>
      </c>
      <c r="Q7" s="16">
        <v>5</v>
      </c>
      <c r="R7" s="16">
        <v>5</v>
      </c>
      <c r="S7" s="16">
        <v>5</v>
      </c>
      <c r="T7" s="16">
        <v>5</v>
      </c>
      <c r="U7" s="16">
        <v>4</v>
      </c>
      <c r="V7" s="16">
        <v>4</v>
      </c>
      <c r="W7" s="16">
        <v>4</v>
      </c>
      <c r="X7" s="16">
        <v>5</v>
      </c>
      <c r="Y7" s="1"/>
      <c r="Z7" s="1"/>
      <c r="AA7" s="1"/>
      <c r="AB7" s="1"/>
      <c r="AC7" s="1"/>
      <c r="AD7" s="1"/>
      <c r="AE7" s="1"/>
      <c r="AF7" s="1"/>
      <c r="AG7" s="1"/>
      <c r="AH7" s="1"/>
      <c r="AI7" s="1"/>
      <c r="AJ7" s="1"/>
      <c r="AK7" s="1"/>
      <c r="AL7" s="1"/>
      <c r="AM7" s="1"/>
      <c r="AN7" s="1"/>
      <c r="AO7" s="1"/>
      <c r="AR7" s="1">
        <f t="shared" si="0"/>
        <v>5</v>
      </c>
      <c r="AS7" s="1">
        <f t="shared" si="1"/>
        <v>4.25</v>
      </c>
      <c r="AT7" s="1">
        <f>IF(COUNTA(I7:K7)&gt;0,AVERAGE(I7:K7),"")</f>
        <v>5</v>
      </c>
      <c r="AU7" s="1">
        <f>IF(COUNTA(L7:P7)&gt;0,AVERAGE(L7:P7),"")</f>
        <v>4.5999999999999996</v>
      </c>
      <c r="AV7" s="1">
        <f t="shared" si="2"/>
        <v>5</v>
      </c>
      <c r="AW7" s="1">
        <f t="shared" si="3"/>
        <v>4.25</v>
      </c>
      <c r="AX7" s="1" t="str">
        <f t="shared" si="4"/>
        <v/>
      </c>
      <c r="AY7" s="1" t="str">
        <f t="shared" si="5"/>
        <v/>
      </c>
      <c r="AZ7" s="1" t="str">
        <f t="shared" si="6"/>
        <v/>
      </c>
      <c r="BA7" s="1" t="str">
        <f t="shared" si="7"/>
        <v/>
      </c>
    </row>
    <row r="8" spans="1:53" x14ac:dyDescent="0.2">
      <c r="A8" s="16">
        <v>7</v>
      </c>
      <c r="B8" s="16">
        <v>7</v>
      </c>
      <c r="C8" s="16">
        <v>7</v>
      </c>
      <c r="D8" s="16">
        <v>7</v>
      </c>
      <c r="E8" s="16">
        <v>6</v>
      </c>
      <c r="F8" s="16">
        <v>6</v>
      </c>
      <c r="G8" s="16">
        <v>5</v>
      </c>
      <c r="H8" s="16">
        <v>5</v>
      </c>
      <c r="I8" s="16">
        <v>7</v>
      </c>
      <c r="J8" s="16">
        <v>7</v>
      </c>
      <c r="K8" s="16">
        <v>6</v>
      </c>
      <c r="L8" s="16">
        <v>6</v>
      </c>
      <c r="M8" s="16">
        <v>7</v>
      </c>
      <c r="N8" s="16">
        <v>6</v>
      </c>
      <c r="O8" s="16">
        <v>6</v>
      </c>
      <c r="P8" s="16">
        <v>7</v>
      </c>
      <c r="Q8" s="16">
        <v>7</v>
      </c>
      <c r="R8" s="16">
        <v>7</v>
      </c>
      <c r="S8" s="16">
        <v>7</v>
      </c>
      <c r="T8" s="16">
        <v>7</v>
      </c>
      <c r="U8" s="16">
        <v>2</v>
      </c>
      <c r="V8" s="16">
        <v>2</v>
      </c>
      <c r="W8" s="16">
        <v>2</v>
      </c>
      <c r="X8" s="16">
        <v>5</v>
      </c>
      <c r="Y8" s="1"/>
      <c r="Z8" s="1"/>
      <c r="AA8" s="1"/>
      <c r="AB8" s="1"/>
      <c r="AC8" s="1"/>
      <c r="AD8" s="1"/>
      <c r="AE8" s="1"/>
      <c r="AF8" s="1"/>
      <c r="AG8" s="1"/>
      <c r="AH8" s="1"/>
      <c r="AI8" s="1"/>
      <c r="AJ8" s="1"/>
      <c r="AK8" s="1"/>
      <c r="AL8" s="1"/>
      <c r="AM8" s="1"/>
      <c r="AN8" s="1"/>
      <c r="AO8" s="1"/>
      <c r="AR8" s="1">
        <f t="shared" si="0"/>
        <v>7</v>
      </c>
      <c r="AS8" s="1">
        <f t="shared" si="1"/>
        <v>5.5</v>
      </c>
      <c r="AT8" s="1">
        <f>IF(COUNTA(I8:K8)&gt;0,AVERAGE(I8:K8),"")</f>
        <v>6.666666666666667</v>
      </c>
      <c r="AU8" s="1">
        <f>IF(COUNTA(L8:P8)&gt;0,AVERAGE(L8:P8),"")</f>
        <v>6.4</v>
      </c>
      <c r="AV8" s="1">
        <f t="shared" si="2"/>
        <v>7</v>
      </c>
      <c r="AW8" s="1">
        <f t="shared" si="3"/>
        <v>2.75</v>
      </c>
      <c r="AX8" s="1" t="str">
        <f t="shared" si="4"/>
        <v/>
      </c>
      <c r="AY8" s="1" t="str">
        <f t="shared" si="5"/>
        <v/>
      </c>
      <c r="AZ8" s="1" t="str">
        <f t="shared" si="6"/>
        <v/>
      </c>
      <c r="BA8" s="1" t="str">
        <f t="shared" si="7"/>
        <v/>
      </c>
    </row>
    <row r="9" spans="1:53" x14ac:dyDescent="0.2">
      <c r="A9" s="16">
        <v>7</v>
      </c>
      <c r="B9" s="16">
        <v>7</v>
      </c>
      <c r="C9" s="16">
        <v>7</v>
      </c>
      <c r="D9" s="16">
        <v>7</v>
      </c>
      <c r="E9" s="16">
        <v>1</v>
      </c>
      <c r="F9" s="16">
        <v>1</v>
      </c>
      <c r="G9" s="16">
        <v>1</v>
      </c>
      <c r="H9" s="16">
        <v>1</v>
      </c>
      <c r="I9" s="16">
        <v>1</v>
      </c>
      <c r="J9" s="16">
        <v>1</v>
      </c>
      <c r="K9" s="16">
        <v>1</v>
      </c>
      <c r="L9" s="16">
        <v>3</v>
      </c>
      <c r="M9" s="16">
        <v>1</v>
      </c>
      <c r="N9" s="16">
        <v>1</v>
      </c>
      <c r="O9" s="16">
        <v>1</v>
      </c>
      <c r="P9" s="16">
        <v>1</v>
      </c>
      <c r="Q9" s="16">
        <v>7</v>
      </c>
      <c r="R9" s="16">
        <v>7</v>
      </c>
      <c r="S9" s="16">
        <v>7</v>
      </c>
      <c r="T9" s="16">
        <v>7</v>
      </c>
      <c r="U9" s="16">
        <v>3</v>
      </c>
      <c r="V9" s="16">
        <v>1</v>
      </c>
      <c r="W9" s="16">
        <v>1</v>
      </c>
      <c r="X9" s="16">
        <v>1</v>
      </c>
      <c r="Y9" s="1"/>
      <c r="Z9" s="1"/>
      <c r="AA9" s="1"/>
      <c r="AB9" s="1"/>
      <c r="AC9" s="1"/>
      <c r="AD9" s="1"/>
      <c r="AE9" s="1"/>
      <c r="AF9" s="1"/>
      <c r="AG9" s="1"/>
      <c r="AH9" s="1"/>
      <c r="AI9" s="1"/>
      <c r="AJ9" s="1"/>
      <c r="AK9" s="1"/>
      <c r="AL9" s="1"/>
      <c r="AM9" s="1"/>
      <c r="AN9" s="1"/>
      <c r="AO9" s="1"/>
      <c r="AR9" s="1">
        <f t="shared" si="0"/>
        <v>7</v>
      </c>
      <c r="AS9" s="1">
        <f t="shared" si="1"/>
        <v>1</v>
      </c>
      <c r="AT9" s="1">
        <f>IF(COUNTA(I9:K9)&gt;0,AVERAGE(I9:K9),"")</f>
        <v>1</v>
      </c>
      <c r="AU9" s="1">
        <f>IF(COUNTA(L9:P9)&gt;0,AVERAGE(L9:P9),"")</f>
        <v>1.4</v>
      </c>
      <c r="AV9" s="1">
        <f t="shared" si="2"/>
        <v>7</v>
      </c>
      <c r="AW9" s="1">
        <f t="shared" si="3"/>
        <v>1.5</v>
      </c>
      <c r="AX9" s="1" t="str">
        <f t="shared" si="4"/>
        <v/>
      </c>
      <c r="AY9" s="1" t="str">
        <f t="shared" si="5"/>
        <v/>
      </c>
      <c r="AZ9" s="1" t="str">
        <f t="shared" si="6"/>
        <v/>
      </c>
      <c r="BA9" s="1" t="str">
        <f t="shared" si="7"/>
        <v/>
      </c>
    </row>
    <row r="10" spans="1:53" x14ac:dyDescent="0.2">
      <c r="A10" s="16">
        <v>7</v>
      </c>
      <c r="B10" s="16">
        <v>7</v>
      </c>
      <c r="C10" s="16">
        <v>7</v>
      </c>
      <c r="D10" s="16">
        <v>7</v>
      </c>
      <c r="E10" s="16">
        <v>6</v>
      </c>
      <c r="F10" s="16">
        <v>6</v>
      </c>
      <c r="G10" s="16">
        <v>5</v>
      </c>
      <c r="H10" s="16">
        <v>6</v>
      </c>
      <c r="I10" s="16">
        <v>6</v>
      </c>
      <c r="J10" s="16">
        <v>7</v>
      </c>
      <c r="K10" s="16">
        <v>7</v>
      </c>
      <c r="L10" s="16">
        <v>5</v>
      </c>
      <c r="M10" s="16">
        <v>6</v>
      </c>
      <c r="N10" s="16">
        <v>7</v>
      </c>
      <c r="O10" s="16">
        <v>5</v>
      </c>
      <c r="P10" s="16">
        <v>6</v>
      </c>
      <c r="Q10" s="16">
        <v>7</v>
      </c>
      <c r="R10" s="16">
        <v>7</v>
      </c>
      <c r="S10" s="16">
        <v>7</v>
      </c>
      <c r="T10" s="16">
        <v>7</v>
      </c>
      <c r="U10" s="16">
        <v>2</v>
      </c>
      <c r="V10" s="16">
        <v>1</v>
      </c>
      <c r="W10" s="16">
        <v>1</v>
      </c>
      <c r="X10" s="16">
        <v>2</v>
      </c>
      <c r="Y10" s="1"/>
      <c r="Z10" s="1"/>
      <c r="AA10" s="1"/>
      <c r="AB10" s="1"/>
      <c r="AC10" s="1"/>
      <c r="AD10" s="1"/>
      <c r="AE10" s="1"/>
      <c r="AF10" s="1"/>
      <c r="AG10" s="1"/>
      <c r="AH10" s="1"/>
      <c r="AI10" s="1"/>
      <c r="AJ10" s="1"/>
      <c r="AK10" s="1"/>
      <c r="AL10" s="1"/>
      <c r="AM10" s="1"/>
      <c r="AN10" s="1"/>
      <c r="AO10" s="1"/>
      <c r="AR10" s="1">
        <f t="shared" si="0"/>
        <v>7</v>
      </c>
      <c r="AS10" s="1">
        <f t="shared" si="1"/>
        <v>5.75</v>
      </c>
      <c r="AT10" s="1">
        <f>IF(COUNTA(I10:K10)&gt;0,AVERAGE(I10:K10),"")</f>
        <v>6.666666666666667</v>
      </c>
      <c r="AU10" s="1">
        <f>IF(COUNTA(L10:P10)&gt;0,AVERAGE(L10:P10),"")</f>
        <v>5.8</v>
      </c>
      <c r="AV10" s="1">
        <f t="shared" si="2"/>
        <v>7</v>
      </c>
      <c r="AW10" s="1">
        <f t="shared" si="3"/>
        <v>1.5</v>
      </c>
      <c r="AX10" s="1" t="str">
        <f t="shared" si="4"/>
        <v/>
      </c>
      <c r="AY10" s="1" t="str">
        <f t="shared" si="5"/>
        <v/>
      </c>
      <c r="AZ10" s="1" t="str">
        <f t="shared" si="6"/>
        <v/>
      </c>
      <c r="BA10" s="1" t="str">
        <f t="shared" si="7"/>
        <v/>
      </c>
    </row>
    <row r="11" spans="1:53" x14ac:dyDescent="0.2">
      <c r="A11" s="16">
        <v>7</v>
      </c>
      <c r="B11" s="16">
        <v>6</v>
      </c>
      <c r="C11" s="16">
        <v>6</v>
      </c>
      <c r="D11" s="16">
        <v>6</v>
      </c>
      <c r="E11" s="16">
        <v>6</v>
      </c>
      <c r="F11" s="16">
        <v>6</v>
      </c>
      <c r="G11" s="16">
        <v>6</v>
      </c>
      <c r="H11" s="16">
        <v>6</v>
      </c>
      <c r="I11" s="16">
        <v>2</v>
      </c>
      <c r="J11" s="16">
        <v>5</v>
      </c>
      <c r="K11" s="16">
        <v>3</v>
      </c>
      <c r="L11" s="16">
        <v>2</v>
      </c>
      <c r="M11" s="16">
        <v>5</v>
      </c>
      <c r="N11" s="16">
        <v>5</v>
      </c>
      <c r="O11" s="16">
        <v>5</v>
      </c>
      <c r="P11" s="16">
        <v>5</v>
      </c>
      <c r="Q11" s="16">
        <v>6</v>
      </c>
      <c r="R11" s="16">
        <v>6</v>
      </c>
      <c r="S11" s="16">
        <v>6</v>
      </c>
      <c r="T11" s="16">
        <v>6</v>
      </c>
      <c r="U11" s="16">
        <v>2</v>
      </c>
      <c r="V11" s="16">
        <v>2</v>
      </c>
      <c r="W11" s="16">
        <v>2</v>
      </c>
      <c r="X11" s="16">
        <v>4</v>
      </c>
      <c r="Y11" s="1"/>
      <c r="Z11" s="1"/>
      <c r="AA11" s="1"/>
      <c r="AB11" s="1"/>
      <c r="AC11" s="1"/>
      <c r="AD11" s="1"/>
      <c r="AE11" s="1"/>
      <c r="AF11" s="1"/>
      <c r="AG11" s="1"/>
      <c r="AH11" s="1"/>
      <c r="AI11" s="1"/>
      <c r="AJ11" s="1"/>
      <c r="AK11" s="1"/>
      <c r="AL11" s="1"/>
      <c r="AM11" s="1"/>
      <c r="AN11" s="1"/>
      <c r="AO11" s="1"/>
      <c r="AR11" s="1">
        <f t="shared" si="0"/>
        <v>6.25</v>
      </c>
      <c r="AS11" s="1">
        <f t="shared" si="1"/>
        <v>6</v>
      </c>
      <c r="AT11" s="1">
        <f>IF(COUNTA(I11:K11)&gt;0,AVERAGE(I11:K11),"")</f>
        <v>3.3333333333333335</v>
      </c>
      <c r="AU11" s="1">
        <f>IF(COUNTA(L11:P11)&gt;0,AVERAGE(L11:P11),"")</f>
        <v>4.4000000000000004</v>
      </c>
      <c r="AV11" s="1">
        <f t="shared" si="2"/>
        <v>6</v>
      </c>
      <c r="AW11" s="1">
        <f t="shared" si="3"/>
        <v>2.5</v>
      </c>
      <c r="AX11" s="1" t="str">
        <f t="shared" si="4"/>
        <v/>
      </c>
      <c r="AY11" s="1" t="str">
        <f t="shared" si="5"/>
        <v/>
      </c>
      <c r="AZ11" s="1" t="str">
        <f t="shared" si="6"/>
        <v/>
      </c>
      <c r="BA11" s="1" t="str">
        <f t="shared" si="7"/>
        <v/>
      </c>
    </row>
    <row r="12" spans="1:53" x14ac:dyDescent="0.2">
      <c r="A12" s="16">
        <v>6</v>
      </c>
      <c r="B12" s="16">
        <v>7</v>
      </c>
      <c r="C12" s="16">
        <v>7</v>
      </c>
      <c r="D12" s="16">
        <v>7</v>
      </c>
      <c r="E12" s="16">
        <v>4</v>
      </c>
      <c r="F12" s="16">
        <v>3</v>
      </c>
      <c r="G12" s="16">
        <v>5</v>
      </c>
      <c r="H12" s="16">
        <v>5</v>
      </c>
      <c r="I12" s="16">
        <v>4</v>
      </c>
      <c r="J12" s="16">
        <v>5</v>
      </c>
      <c r="K12" s="16">
        <v>5</v>
      </c>
      <c r="L12" s="16">
        <v>6</v>
      </c>
      <c r="M12" s="16">
        <v>3</v>
      </c>
      <c r="N12" s="16">
        <v>4</v>
      </c>
      <c r="O12" s="16">
        <v>4</v>
      </c>
      <c r="P12" s="16">
        <v>5</v>
      </c>
      <c r="Q12" s="16">
        <v>7</v>
      </c>
      <c r="R12" s="16">
        <v>7</v>
      </c>
      <c r="S12" s="16">
        <v>7</v>
      </c>
      <c r="T12" s="16">
        <v>7</v>
      </c>
      <c r="U12" s="16">
        <v>3</v>
      </c>
      <c r="V12" s="16">
        <v>4</v>
      </c>
      <c r="W12" s="16">
        <v>4</v>
      </c>
      <c r="X12" s="16">
        <v>4</v>
      </c>
      <c r="Z12" s="1"/>
      <c r="AA12" s="1"/>
      <c r="AB12" s="1"/>
      <c r="AC12" s="1"/>
      <c r="AD12" s="1"/>
      <c r="AE12" s="1"/>
      <c r="AF12" s="1"/>
      <c r="AG12" s="1"/>
      <c r="AH12" s="1"/>
      <c r="AI12" s="1"/>
      <c r="AJ12" s="1"/>
      <c r="AK12" s="1"/>
      <c r="AL12" s="1"/>
      <c r="AM12" s="1"/>
      <c r="AN12" s="1"/>
      <c r="AO12" s="1"/>
      <c r="AR12" s="1">
        <f t="shared" si="0"/>
        <v>6.75</v>
      </c>
      <c r="AS12" s="1">
        <f>IF(COUNTA(E12:G12)&gt;0,AVERAGE(E12:G12),"")</f>
        <v>4</v>
      </c>
      <c r="AT12" s="1">
        <f>IF(COUNTA(H12:I12)&gt;0,AVERAGE(H12:I12),"")</f>
        <v>4.5</v>
      </c>
      <c r="AU12" s="1">
        <f>IF(COUNTA(J12:L12)&gt;0,AVERAGE(J12:L12),"")</f>
        <v>5.333333333333333</v>
      </c>
      <c r="AV12" s="1">
        <f>IF(COUNTA(N12:T12)&gt;0,AVERAGE(N12:T12),"")</f>
        <v>5.8571428571428568</v>
      </c>
      <c r="AW12" s="1">
        <f>IF(COUNTA(U12:W12)&gt;0,AVERAGE(U12:W12),"")</f>
        <v>3.6666666666666665</v>
      </c>
      <c r="AX12" s="1">
        <f>IF(COUNTA(X12:AB12)&gt;0,AVERAGE(X12:AB12),"")</f>
        <v>4</v>
      </c>
      <c r="AY12" s="1" t="str">
        <f t="shared" si="5"/>
        <v/>
      </c>
      <c r="AZ12" s="1" t="str">
        <f t="shared" si="6"/>
        <v/>
      </c>
      <c r="BA12" s="1" t="str">
        <f t="shared" si="7"/>
        <v/>
      </c>
    </row>
    <row r="13" spans="1:53" x14ac:dyDescent="0.2">
      <c r="A13" s="16"/>
      <c r="B13" s="16"/>
      <c r="C13" s="16"/>
      <c r="D13" s="16"/>
      <c r="E13" s="16"/>
      <c r="F13" s="16"/>
      <c r="G13" s="16"/>
      <c r="H13" s="16"/>
      <c r="I13" s="16"/>
      <c r="J13" s="16"/>
      <c r="K13" s="16"/>
      <c r="L13" s="16"/>
      <c r="M13" s="16"/>
      <c r="N13" s="16"/>
      <c r="O13" s="16"/>
      <c r="P13" s="16"/>
      <c r="Q13" s="16"/>
      <c r="R13" s="16"/>
      <c r="S13" s="16"/>
      <c r="T13" s="16"/>
      <c r="U13" s="16"/>
      <c r="V13" s="16"/>
      <c r="W13" s="16"/>
      <c r="X13" s="16"/>
      <c r="Y13" s="1"/>
      <c r="Z13" s="1"/>
      <c r="AA13" s="1"/>
      <c r="AB13" s="1"/>
      <c r="AC13" s="1"/>
      <c r="AD13" s="1"/>
      <c r="AE13" s="1"/>
      <c r="AF13" s="1"/>
      <c r="AG13" s="1"/>
      <c r="AH13" s="1"/>
      <c r="AI13" s="1"/>
      <c r="AJ13" s="1"/>
      <c r="AK13" s="1"/>
      <c r="AL13" s="1"/>
      <c r="AM13" s="1"/>
      <c r="AN13" s="1"/>
      <c r="AO13" s="1"/>
      <c r="AR13" s="1" t="str">
        <f t="shared" si="0"/>
        <v/>
      </c>
      <c r="AS13" s="1" t="str">
        <f t="shared" si="1"/>
        <v/>
      </c>
      <c r="AT13" s="1" t="str">
        <f t="shared" ref="AT5:AT68" si="8">IF(COUNTA(I13:L13)&gt;0,AVERAGE(I13:L13),"")</f>
        <v/>
      </c>
      <c r="AU13" s="1" t="str">
        <f t="shared" ref="AU5:AU68" si="9">IF(COUNTA(M13:P13)&gt;0,AVERAGE(M13:P13),"")</f>
        <v/>
      </c>
      <c r="AV13" s="1" t="str">
        <f t="shared" si="2"/>
        <v/>
      </c>
      <c r="AW13" s="1" t="str">
        <f t="shared" si="3"/>
        <v/>
      </c>
      <c r="AX13" s="1" t="str">
        <f t="shared" si="4"/>
        <v/>
      </c>
      <c r="AY13" s="1" t="str">
        <f t="shared" si="5"/>
        <v/>
      </c>
      <c r="AZ13" s="1" t="str">
        <f t="shared" si="6"/>
        <v/>
      </c>
      <c r="BA13" s="1" t="str">
        <f t="shared" si="7"/>
        <v/>
      </c>
    </row>
    <row r="14" spans="1:53" x14ac:dyDescent="0.2">
      <c r="A14" s="16"/>
      <c r="B14" s="16"/>
      <c r="C14" s="16"/>
      <c r="D14" s="16"/>
      <c r="E14" s="16"/>
      <c r="F14" s="16"/>
      <c r="G14" s="16"/>
      <c r="H14" s="16"/>
      <c r="I14" s="16"/>
      <c r="J14" s="16"/>
      <c r="K14" s="16"/>
      <c r="L14" s="16"/>
      <c r="M14" s="16"/>
      <c r="N14" s="16"/>
      <c r="O14" s="16"/>
      <c r="P14" s="16"/>
      <c r="Q14" s="16"/>
      <c r="R14" s="16"/>
      <c r="S14" s="16"/>
      <c r="T14" s="16"/>
      <c r="U14" s="16"/>
      <c r="V14" s="16"/>
      <c r="W14" s="16"/>
      <c r="X14" s="16"/>
      <c r="Y14" s="1"/>
      <c r="Z14" s="1"/>
      <c r="AA14" s="1"/>
      <c r="AB14" s="1"/>
      <c r="AC14" s="1"/>
      <c r="AD14" s="1"/>
      <c r="AE14" s="1"/>
      <c r="AF14" s="1"/>
      <c r="AG14" s="1"/>
      <c r="AH14" s="1"/>
      <c r="AI14" s="1"/>
      <c r="AJ14" s="1"/>
      <c r="AK14" s="1"/>
      <c r="AL14" s="1"/>
      <c r="AM14" s="1"/>
      <c r="AN14" s="1"/>
      <c r="AO14" s="1"/>
      <c r="AR14" s="1" t="str">
        <f t="shared" si="0"/>
        <v/>
      </c>
      <c r="AS14" s="1" t="str">
        <f t="shared" si="1"/>
        <v/>
      </c>
      <c r="AT14" s="1" t="str">
        <f t="shared" si="8"/>
        <v/>
      </c>
      <c r="AU14" s="1" t="str">
        <f t="shared" si="9"/>
        <v/>
      </c>
      <c r="AV14" s="1" t="str">
        <f t="shared" si="2"/>
        <v/>
      </c>
      <c r="AW14" s="1" t="str">
        <f t="shared" si="3"/>
        <v/>
      </c>
      <c r="AX14" s="1" t="str">
        <f t="shared" si="4"/>
        <v/>
      </c>
      <c r="AY14" s="1" t="str">
        <f t="shared" si="5"/>
        <v/>
      </c>
      <c r="AZ14" s="1" t="str">
        <f t="shared" si="6"/>
        <v/>
      </c>
      <c r="BA14" s="1" t="str">
        <f t="shared" si="7"/>
        <v/>
      </c>
    </row>
    <row r="15" spans="1:53" x14ac:dyDescent="0.2">
      <c r="A15" s="16"/>
      <c r="B15" s="16"/>
      <c r="C15" s="16"/>
      <c r="D15" s="16"/>
      <c r="E15" s="16"/>
      <c r="F15" s="16"/>
      <c r="G15" s="16"/>
      <c r="H15" s="16"/>
      <c r="I15" s="16"/>
      <c r="J15" s="16"/>
      <c r="K15" s="16"/>
      <c r="L15" s="16"/>
      <c r="M15" s="16"/>
      <c r="N15" s="16"/>
      <c r="O15" s="16"/>
      <c r="P15" s="16"/>
      <c r="Q15" s="16"/>
      <c r="R15" s="16"/>
      <c r="S15" s="16"/>
      <c r="T15" s="16"/>
      <c r="U15" s="16"/>
      <c r="V15" s="16"/>
      <c r="W15" s="16"/>
      <c r="X15" s="16"/>
      <c r="Y15" s="1"/>
      <c r="Z15" s="1"/>
      <c r="AA15" s="1"/>
      <c r="AB15" s="1"/>
      <c r="AC15" s="1"/>
      <c r="AD15" s="1"/>
      <c r="AE15" s="1"/>
      <c r="AF15" s="1"/>
      <c r="AG15" s="1"/>
      <c r="AH15" s="1"/>
      <c r="AI15" s="1"/>
      <c r="AJ15" s="1"/>
      <c r="AK15" s="1"/>
      <c r="AL15" s="1"/>
      <c r="AM15" s="1"/>
      <c r="AN15" s="1"/>
      <c r="AO15" s="1"/>
      <c r="AR15" s="1" t="str">
        <f t="shared" si="0"/>
        <v/>
      </c>
      <c r="AS15" s="1" t="str">
        <f t="shared" si="1"/>
        <v/>
      </c>
      <c r="AT15" s="1" t="str">
        <f t="shared" si="8"/>
        <v/>
      </c>
      <c r="AU15" s="1" t="str">
        <f t="shared" si="9"/>
        <v/>
      </c>
      <c r="AV15" s="1" t="str">
        <f t="shared" si="2"/>
        <v/>
      </c>
      <c r="AW15" s="1" t="str">
        <f t="shared" si="3"/>
        <v/>
      </c>
      <c r="AX15" s="1" t="str">
        <f t="shared" si="4"/>
        <v/>
      </c>
      <c r="AY15" s="1" t="str">
        <f t="shared" si="5"/>
        <v/>
      </c>
      <c r="AZ15" s="1" t="str">
        <f t="shared" si="6"/>
        <v/>
      </c>
      <c r="BA15" s="1" t="str">
        <f t="shared" si="7"/>
        <v/>
      </c>
    </row>
    <row r="16" spans="1:53" x14ac:dyDescent="0.2">
      <c r="A16" s="16"/>
      <c r="B16" s="16"/>
      <c r="C16" s="16"/>
      <c r="D16" s="16"/>
      <c r="E16" s="16"/>
      <c r="F16" s="16"/>
      <c r="G16" s="16"/>
      <c r="H16" s="16"/>
      <c r="I16" s="16"/>
      <c r="J16" s="16"/>
      <c r="K16" s="16"/>
      <c r="L16" s="16"/>
      <c r="M16" s="16"/>
      <c r="N16" s="16"/>
      <c r="O16" s="16"/>
      <c r="P16" s="16"/>
      <c r="Q16" s="16"/>
      <c r="R16" s="16"/>
      <c r="S16" s="16"/>
      <c r="T16" s="16"/>
      <c r="U16" s="16"/>
      <c r="V16" s="16"/>
      <c r="W16" s="16"/>
      <c r="X16" s="16"/>
      <c r="Y16" s="1"/>
      <c r="Z16" s="1"/>
      <c r="AA16" s="1"/>
      <c r="AB16" s="1"/>
      <c r="AC16" s="1"/>
      <c r="AD16" s="1"/>
      <c r="AE16" s="1"/>
      <c r="AF16" s="1"/>
      <c r="AG16" s="1"/>
      <c r="AH16" s="1"/>
      <c r="AI16" s="1"/>
      <c r="AJ16" s="1"/>
      <c r="AK16" s="1"/>
      <c r="AL16" s="1"/>
      <c r="AM16" s="1"/>
      <c r="AN16" s="1"/>
      <c r="AO16" s="1"/>
      <c r="AR16" s="1" t="str">
        <f t="shared" si="0"/>
        <v/>
      </c>
      <c r="AS16" s="1" t="str">
        <f t="shared" si="1"/>
        <v/>
      </c>
      <c r="AT16" s="1" t="str">
        <f t="shared" si="8"/>
        <v/>
      </c>
      <c r="AU16" s="1" t="str">
        <f t="shared" si="9"/>
        <v/>
      </c>
      <c r="AV16" s="1" t="str">
        <f t="shared" si="2"/>
        <v/>
      </c>
      <c r="AW16" s="1" t="str">
        <f t="shared" si="3"/>
        <v/>
      </c>
      <c r="AX16" s="1" t="str">
        <f t="shared" si="4"/>
        <v/>
      </c>
      <c r="AY16" s="1" t="str">
        <f t="shared" si="5"/>
        <v/>
      </c>
      <c r="AZ16" s="1" t="str">
        <f t="shared" si="6"/>
        <v/>
      </c>
      <c r="BA16" s="1" t="str">
        <f t="shared" si="7"/>
        <v/>
      </c>
    </row>
    <row r="17" spans="1:53" x14ac:dyDescent="0.2">
      <c r="A17" s="16"/>
      <c r="B17" s="16"/>
      <c r="C17" s="16"/>
      <c r="D17" s="16"/>
      <c r="E17" s="16"/>
      <c r="F17" s="16"/>
      <c r="G17" s="16"/>
      <c r="H17" s="16"/>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R17" s="1" t="str">
        <f t="shared" si="0"/>
        <v/>
      </c>
      <c r="AS17" s="1" t="str">
        <f t="shared" si="1"/>
        <v/>
      </c>
      <c r="AT17" s="1" t="str">
        <f t="shared" si="8"/>
        <v/>
      </c>
      <c r="AU17" s="1" t="str">
        <f t="shared" si="9"/>
        <v/>
      </c>
      <c r="AV17" s="1" t="str">
        <f t="shared" si="2"/>
        <v/>
      </c>
      <c r="AW17" s="1" t="str">
        <f t="shared" si="3"/>
        <v/>
      </c>
      <c r="AX17" s="1" t="str">
        <f t="shared" si="4"/>
        <v/>
      </c>
      <c r="AY17" s="1" t="str">
        <f t="shared" si="5"/>
        <v/>
      </c>
      <c r="AZ17" s="1" t="str">
        <f t="shared" si="6"/>
        <v/>
      </c>
      <c r="BA17" s="1" t="str">
        <f t="shared" si="7"/>
        <v/>
      </c>
    </row>
    <row r="18" spans="1:53" x14ac:dyDescent="0.2">
      <c r="A18" s="16"/>
      <c r="B18" s="16"/>
      <c r="C18" s="16"/>
      <c r="D18" s="16"/>
      <c r="E18" s="16"/>
      <c r="F18" s="16"/>
      <c r="G18" s="16"/>
      <c r="H18" s="16"/>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R18" s="1" t="str">
        <f t="shared" si="0"/>
        <v/>
      </c>
      <c r="AS18" s="1" t="str">
        <f t="shared" si="1"/>
        <v/>
      </c>
      <c r="AT18" s="1" t="str">
        <f t="shared" si="8"/>
        <v/>
      </c>
      <c r="AU18" s="1" t="str">
        <f t="shared" si="9"/>
        <v/>
      </c>
      <c r="AV18" s="1" t="str">
        <f t="shared" si="2"/>
        <v/>
      </c>
      <c r="AW18" s="1" t="str">
        <f t="shared" si="3"/>
        <v/>
      </c>
      <c r="AX18" s="1" t="str">
        <f t="shared" si="4"/>
        <v/>
      </c>
      <c r="AY18" s="1" t="str">
        <f t="shared" si="5"/>
        <v/>
      </c>
      <c r="AZ18" s="1" t="str">
        <f t="shared" si="6"/>
        <v/>
      </c>
      <c r="BA18" s="1" t="str">
        <f t="shared" si="7"/>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8"/>
        <v/>
      </c>
      <c r="AU19" s="1" t="str">
        <f t="shared" si="9"/>
        <v/>
      </c>
      <c r="AV19" s="1" t="str">
        <f t="shared" si="2"/>
        <v/>
      </c>
      <c r="AW19" s="1" t="str">
        <f t="shared" si="3"/>
        <v/>
      </c>
      <c r="AX19" s="1" t="str">
        <f t="shared" si="4"/>
        <v/>
      </c>
      <c r="AY19" s="1" t="str">
        <f t="shared" si="5"/>
        <v/>
      </c>
      <c r="AZ19" s="1" t="str">
        <f t="shared" si="6"/>
        <v/>
      </c>
      <c r="BA19" s="1" t="str">
        <f t="shared" si="7"/>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8"/>
        <v/>
      </c>
      <c r="AU20" s="1" t="str">
        <f t="shared" si="9"/>
        <v/>
      </c>
      <c r="AV20" s="1" t="str">
        <f t="shared" si="2"/>
        <v/>
      </c>
      <c r="AW20" s="1" t="str">
        <f t="shared" si="3"/>
        <v/>
      </c>
      <c r="AX20" s="1" t="str">
        <f t="shared" si="4"/>
        <v/>
      </c>
      <c r="AY20" s="1" t="str">
        <f t="shared" si="5"/>
        <v/>
      </c>
      <c r="AZ20" s="1" t="str">
        <f t="shared" si="6"/>
        <v/>
      </c>
      <c r="BA20" s="1" t="str">
        <f t="shared" si="7"/>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8"/>
        <v/>
      </c>
      <c r="AU21" s="1" t="str">
        <f t="shared" si="9"/>
        <v/>
      </c>
      <c r="AV21" s="1" t="str">
        <f t="shared" si="2"/>
        <v/>
      </c>
      <c r="AW21" s="1" t="str">
        <f t="shared" si="3"/>
        <v/>
      </c>
      <c r="AX21" s="1" t="str">
        <f t="shared" si="4"/>
        <v/>
      </c>
      <c r="AY21" s="1" t="str">
        <f t="shared" si="5"/>
        <v/>
      </c>
      <c r="AZ21" s="1" t="str">
        <f t="shared" si="6"/>
        <v/>
      </c>
      <c r="BA21" s="1" t="str">
        <f t="shared" si="7"/>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8"/>
        <v/>
      </c>
      <c r="AU22" s="1" t="str">
        <f t="shared" si="9"/>
        <v/>
      </c>
      <c r="AV22" s="1" t="str">
        <f t="shared" si="2"/>
        <v/>
      </c>
      <c r="AW22" s="1" t="str">
        <f t="shared" si="3"/>
        <v/>
      </c>
      <c r="AX22" s="1" t="str">
        <f t="shared" si="4"/>
        <v/>
      </c>
      <c r="AY22" s="1" t="str">
        <f t="shared" si="5"/>
        <v/>
      </c>
      <c r="AZ22" s="1" t="str">
        <f t="shared" si="6"/>
        <v/>
      </c>
      <c r="BA22" s="1" t="str">
        <f t="shared" si="7"/>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8"/>
        <v/>
      </c>
      <c r="AU23" s="1" t="str">
        <f t="shared" si="9"/>
        <v/>
      </c>
      <c r="AV23" s="1" t="str">
        <f t="shared" si="2"/>
        <v/>
      </c>
      <c r="AW23" s="1" t="str">
        <f t="shared" si="3"/>
        <v/>
      </c>
      <c r="AX23" s="1" t="str">
        <f t="shared" si="4"/>
        <v/>
      </c>
      <c r="AY23" s="1" t="str">
        <f t="shared" si="5"/>
        <v/>
      </c>
      <c r="AZ23" s="1" t="str">
        <f t="shared" si="6"/>
        <v/>
      </c>
      <c r="BA23" s="1" t="str">
        <f t="shared" si="7"/>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8"/>
        <v/>
      </c>
      <c r="AU24" s="1" t="str">
        <f t="shared" si="9"/>
        <v/>
      </c>
      <c r="AV24" s="1" t="str">
        <f t="shared" si="2"/>
        <v/>
      </c>
      <c r="AW24" s="1" t="str">
        <f t="shared" si="3"/>
        <v/>
      </c>
      <c r="AX24" s="1" t="str">
        <f t="shared" si="4"/>
        <v/>
      </c>
      <c r="AY24" s="1" t="str">
        <f t="shared" si="5"/>
        <v/>
      </c>
      <c r="AZ24" s="1" t="str">
        <f t="shared" si="6"/>
        <v/>
      </c>
      <c r="BA24" s="1" t="str">
        <f t="shared" si="7"/>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8"/>
        <v/>
      </c>
      <c r="AU25" s="1" t="str">
        <f t="shared" si="9"/>
        <v/>
      </c>
      <c r="AV25" s="1" t="str">
        <f t="shared" si="2"/>
        <v/>
      </c>
      <c r="AW25" s="1" t="str">
        <f t="shared" si="3"/>
        <v/>
      </c>
      <c r="AX25" s="1" t="str">
        <f t="shared" si="4"/>
        <v/>
      </c>
      <c r="AY25" s="1" t="str">
        <f t="shared" si="5"/>
        <v/>
      </c>
      <c r="AZ25" s="1" t="str">
        <f t="shared" si="6"/>
        <v/>
      </c>
      <c r="BA25" s="1" t="str">
        <f t="shared" si="7"/>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8"/>
        <v/>
      </c>
      <c r="AU26" s="1" t="str">
        <f t="shared" si="9"/>
        <v/>
      </c>
      <c r="AV26" s="1" t="str">
        <f t="shared" si="2"/>
        <v/>
      </c>
      <c r="AW26" s="1" t="str">
        <f t="shared" si="3"/>
        <v/>
      </c>
      <c r="AX26" s="1" t="str">
        <f t="shared" si="4"/>
        <v/>
      </c>
      <c r="AY26" s="1" t="str">
        <f t="shared" si="5"/>
        <v/>
      </c>
      <c r="AZ26" s="1" t="str">
        <f t="shared" si="6"/>
        <v/>
      </c>
      <c r="BA26" s="1" t="str">
        <f t="shared" si="7"/>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8"/>
        <v/>
      </c>
      <c r="AU27" s="1" t="str">
        <f t="shared" si="9"/>
        <v/>
      </c>
      <c r="AV27" s="1" t="str">
        <f t="shared" si="2"/>
        <v/>
      </c>
      <c r="AW27" s="1" t="str">
        <f t="shared" si="3"/>
        <v/>
      </c>
      <c r="AX27" s="1" t="str">
        <f t="shared" si="4"/>
        <v/>
      </c>
      <c r="AY27" s="1" t="str">
        <f t="shared" si="5"/>
        <v/>
      </c>
      <c r="AZ27" s="1" t="str">
        <f t="shared" si="6"/>
        <v/>
      </c>
      <c r="BA27" s="1" t="str">
        <f t="shared" si="7"/>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8"/>
        <v/>
      </c>
      <c r="AU28" s="1" t="str">
        <f t="shared" si="9"/>
        <v/>
      </c>
      <c r="AV28" s="1" t="str">
        <f t="shared" si="2"/>
        <v/>
      </c>
      <c r="AW28" s="1" t="str">
        <f t="shared" si="3"/>
        <v/>
      </c>
      <c r="AX28" s="1" t="str">
        <f t="shared" si="4"/>
        <v/>
      </c>
      <c r="AY28" s="1" t="str">
        <f t="shared" si="5"/>
        <v/>
      </c>
      <c r="AZ28" s="1" t="str">
        <f t="shared" si="6"/>
        <v/>
      </c>
      <c r="BA28" s="1" t="str">
        <f t="shared" si="7"/>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8"/>
        <v/>
      </c>
      <c r="AU29" s="1" t="str">
        <f t="shared" si="9"/>
        <v/>
      </c>
      <c r="AV29" s="1" t="str">
        <f t="shared" si="2"/>
        <v/>
      </c>
      <c r="AW29" s="1" t="str">
        <f t="shared" si="3"/>
        <v/>
      </c>
      <c r="AX29" s="1" t="str">
        <f t="shared" si="4"/>
        <v/>
      </c>
      <c r="AY29" s="1" t="str">
        <f t="shared" si="5"/>
        <v/>
      </c>
      <c r="AZ29" s="1" t="str">
        <f t="shared" si="6"/>
        <v/>
      </c>
      <c r="BA29" s="1" t="str">
        <f t="shared" si="7"/>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8"/>
        <v/>
      </c>
      <c r="AU30" s="1" t="str">
        <f t="shared" si="9"/>
        <v/>
      </c>
      <c r="AV30" s="1" t="str">
        <f t="shared" si="2"/>
        <v/>
      </c>
      <c r="AW30" s="1" t="str">
        <f t="shared" si="3"/>
        <v/>
      </c>
      <c r="AX30" s="1" t="str">
        <f t="shared" si="4"/>
        <v/>
      </c>
      <c r="AY30" s="1" t="str">
        <f t="shared" si="5"/>
        <v/>
      </c>
      <c r="AZ30" s="1" t="str">
        <f t="shared" si="6"/>
        <v/>
      </c>
      <c r="BA30" s="1" t="str">
        <f t="shared" si="7"/>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8"/>
        <v/>
      </c>
      <c r="AU31" s="1" t="str">
        <f t="shared" si="9"/>
        <v/>
      </c>
      <c r="AV31" s="1" t="str">
        <f t="shared" si="2"/>
        <v/>
      </c>
      <c r="AW31" s="1" t="str">
        <f t="shared" si="3"/>
        <v/>
      </c>
      <c r="AX31" s="1" t="str">
        <f t="shared" si="4"/>
        <v/>
      </c>
      <c r="AY31" s="1" t="str">
        <f t="shared" si="5"/>
        <v/>
      </c>
      <c r="AZ31" s="1" t="str">
        <f t="shared" si="6"/>
        <v/>
      </c>
      <c r="BA31" s="1" t="str">
        <f t="shared" si="7"/>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8"/>
        <v/>
      </c>
      <c r="AU32" s="1" t="str">
        <f t="shared" si="9"/>
        <v/>
      </c>
      <c r="AV32" s="1" t="str">
        <f t="shared" si="2"/>
        <v/>
      </c>
      <c r="AW32" s="1" t="str">
        <f t="shared" si="3"/>
        <v/>
      </c>
      <c r="AX32" s="1" t="str">
        <f t="shared" si="4"/>
        <v/>
      </c>
      <c r="AY32" s="1" t="str">
        <f t="shared" si="5"/>
        <v/>
      </c>
      <c r="AZ32" s="1" t="str">
        <f t="shared" si="6"/>
        <v/>
      </c>
      <c r="BA32" s="1" t="str">
        <f t="shared" si="7"/>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8"/>
        <v/>
      </c>
      <c r="AU33" s="1" t="str">
        <f t="shared" si="9"/>
        <v/>
      </c>
      <c r="AV33" s="1" t="str">
        <f t="shared" si="2"/>
        <v/>
      </c>
      <c r="AW33" s="1" t="str">
        <f t="shared" si="3"/>
        <v/>
      </c>
      <c r="AX33" s="1" t="str">
        <f t="shared" si="4"/>
        <v/>
      </c>
      <c r="AY33" s="1" t="str">
        <f t="shared" si="5"/>
        <v/>
      </c>
      <c r="AZ33" s="1" t="str">
        <f t="shared" si="6"/>
        <v/>
      </c>
      <c r="BA33" s="1" t="str">
        <f t="shared" si="7"/>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8"/>
        <v/>
      </c>
      <c r="AU34" s="1" t="str">
        <f t="shared" si="9"/>
        <v/>
      </c>
      <c r="AV34" s="1" t="str">
        <f t="shared" si="2"/>
        <v/>
      </c>
      <c r="AW34" s="1" t="str">
        <f t="shared" si="3"/>
        <v/>
      </c>
      <c r="AX34" s="1" t="str">
        <f t="shared" si="4"/>
        <v/>
      </c>
      <c r="AY34" s="1" t="str">
        <f t="shared" si="5"/>
        <v/>
      </c>
      <c r="AZ34" s="1" t="str">
        <f t="shared" si="6"/>
        <v/>
      </c>
      <c r="BA34" s="1" t="str">
        <f t="shared" si="7"/>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8"/>
        <v/>
      </c>
      <c r="AU35" s="1" t="str">
        <f t="shared" si="9"/>
        <v/>
      </c>
      <c r="AV35" s="1" t="str">
        <f t="shared" si="2"/>
        <v/>
      </c>
      <c r="AW35" s="1" t="str">
        <f t="shared" si="3"/>
        <v/>
      </c>
      <c r="AX35" s="1" t="str">
        <f t="shared" si="4"/>
        <v/>
      </c>
      <c r="AY35" s="1" t="str">
        <f t="shared" si="5"/>
        <v/>
      </c>
      <c r="AZ35" s="1" t="str">
        <f t="shared" si="6"/>
        <v/>
      </c>
      <c r="BA35" s="1" t="str">
        <f t="shared" si="7"/>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8"/>
        <v/>
      </c>
      <c r="AU36" s="1" t="str">
        <f t="shared" si="9"/>
        <v/>
      </c>
      <c r="AV36" s="1" t="str">
        <f t="shared" si="2"/>
        <v/>
      </c>
      <c r="AW36" s="1" t="str">
        <f t="shared" si="3"/>
        <v/>
      </c>
      <c r="AX36" s="1" t="str">
        <f t="shared" si="4"/>
        <v/>
      </c>
      <c r="AY36" s="1" t="str">
        <f t="shared" si="5"/>
        <v/>
      </c>
      <c r="AZ36" s="1" t="str">
        <f t="shared" si="6"/>
        <v/>
      </c>
      <c r="BA36" s="1" t="str">
        <f t="shared" si="7"/>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8"/>
        <v/>
      </c>
      <c r="AU37" s="1" t="str">
        <f t="shared" si="9"/>
        <v/>
      </c>
      <c r="AV37" s="1" t="str">
        <f t="shared" si="2"/>
        <v/>
      </c>
      <c r="AW37" s="1" t="str">
        <f t="shared" si="3"/>
        <v/>
      </c>
      <c r="AX37" s="1" t="str">
        <f t="shared" si="4"/>
        <v/>
      </c>
      <c r="AY37" s="1" t="str">
        <f t="shared" si="5"/>
        <v/>
      </c>
      <c r="AZ37" s="1" t="str">
        <f t="shared" si="6"/>
        <v/>
      </c>
      <c r="BA37" s="1" t="str">
        <f t="shared" si="7"/>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8"/>
        <v/>
      </c>
      <c r="AU38" s="1" t="str">
        <f t="shared" si="9"/>
        <v/>
      </c>
      <c r="AV38" s="1" t="str">
        <f t="shared" si="2"/>
        <v/>
      </c>
      <c r="AW38" s="1" t="str">
        <f t="shared" si="3"/>
        <v/>
      </c>
      <c r="AX38" s="1" t="str">
        <f t="shared" si="4"/>
        <v/>
      </c>
      <c r="AY38" s="1" t="str">
        <f t="shared" si="5"/>
        <v/>
      </c>
      <c r="AZ38" s="1" t="str">
        <f t="shared" si="6"/>
        <v/>
      </c>
      <c r="BA38" s="1" t="str">
        <f t="shared" si="7"/>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8"/>
        <v/>
      </c>
      <c r="AU39" s="1" t="str">
        <f t="shared" si="9"/>
        <v/>
      </c>
      <c r="AV39" s="1" t="str">
        <f t="shared" si="2"/>
        <v/>
      </c>
      <c r="AW39" s="1" t="str">
        <f t="shared" si="3"/>
        <v/>
      </c>
      <c r="AX39" s="1" t="str">
        <f t="shared" si="4"/>
        <v/>
      </c>
      <c r="AY39" s="1" t="str">
        <f t="shared" si="5"/>
        <v/>
      </c>
      <c r="AZ39" s="1" t="str">
        <f t="shared" si="6"/>
        <v/>
      </c>
      <c r="BA39" s="1" t="str">
        <f t="shared" si="7"/>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8"/>
        <v/>
      </c>
      <c r="AU40" s="1" t="str">
        <f t="shared" si="9"/>
        <v/>
      </c>
      <c r="AV40" s="1" t="str">
        <f t="shared" si="2"/>
        <v/>
      </c>
      <c r="AW40" s="1" t="str">
        <f t="shared" si="3"/>
        <v/>
      </c>
      <c r="AX40" s="1" t="str">
        <f t="shared" si="4"/>
        <v/>
      </c>
      <c r="AY40" s="1" t="str">
        <f t="shared" si="5"/>
        <v/>
      </c>
      <c r="AZ40" s="1" t="str">
        <f t="shared" si="6"/>
        <v/>
      </c>
      <c r="BA40" s="1" t="str">
        <f t="shared" si="7"/>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8"/>
        <v/>
      </c>
      <c r="AU41" s="1" t="str">
        <f t="shared" si="9"/>
        <v/>
      </c>
      <c r="AV41" s="1" t="str">
        <f t="shared" si="2"/>
        <v/>
      </c>
      <c r="AW41" s="1" t="str">
        <f t="shared" si="3"/>
        <v/>
      </c>
      <c r="AX41" s="1" t="str">
        <f t="shared" si="4"/>
        <v/>
      </c>
      <c r="AY41" s="1" t="str">
        <f t="shared" si="5"/>
        <v/>
      </c>
      <c r="AZ41" s="1" t="str">
        <f t="shared" si="6"/>
        <v/>
      </c>
      <c r="BA41" s="1" t="str">
        <f t="shared" si="7"/>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8"/>
        <v/>
      </c>
      <c r="AU42" s="1" t="str">
        <f t="shared" si="9"/>
        <v/>
      </c>
      <c r="AV42" s="1" t="str">
        <f t="shared" si="2"/>
        <v/>
      </c>
      <c r="AW42" s="1" t="str">
        <f t="shared" si="3"/>
        <v/>
      </c>
      <c r="AX42" s="1" t="str">
        <f t="shared" si="4"/>
        <v/>
      </c>
      <c r="AY42" s="1" t="str">
        <f t="shared" si="5"/>
        <v/>
      </c>
      <c r="AZ42" s="1" t="str">
        <f t="shared" si="6"/>
        <v/>
      </c>
      <c r="BA42" s="1" t="str">
        <f t="shared" si="7"/>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8"/>
        <v/>
      </c>
      <c r="AU43" s="1" t="str">
        <f t="shared" si="9"/>
        <v/>
      </c>
      <c r="AV43" s="1" t="str">
        <f t="shared" si="2"/>
        <v/>
      </c>
      <c r="AW43" s="1" t="str">
        <f t="shared" si="3"/>
        <v/>
      </c>
      <c r="AX43" s="1" t="str">
        <f t="shared" si="4"/>
        <v/>
      </c>
      <c r="AY43" s="1" t="str">
        <f t="shared" si="5"/>
        <v/>
      </c>
      <c r="AZ43" s="1" t="str">
        <f t="shared" si="6"/>
        <v/>
      </c>
      <c r="BA43" s="1" t="str">
        <f t="shared" si="7"/>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8"/>
        <v/>
      </c>
      <c r="AU44" s="1" t="str">
        <f t="shared" si="9"/>
        <v/>
      </c>
      <c r="AV44" s="1" t="str">
        <f t="shared" si="2"/>
        <v/>
      </c>
      <c r="AW44" s="1" t="str">
        <f t="shared" si="3"/>
        <v/>
      </c>
      <c r="AX44" s="1" t="str">
        <f t="shared" si="4"/>
        <v/>
      </c>
      <c r="AY44" s="1" t="str">
        <f t="shared" si="5"/>
        <v/>
      </c>
      <c r="AZ44" s="1" t="str">
        <f t="shared" si="6"/>
        <v/>
      </c>
      <c r="BA44" s="1" t="str">
        <f t="shared" si="7"/>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8"/>
        <v/>
      </c>
      <c r="AU45" s="1" t="str">
        <f t="shared" si="9"/>
        <v/>
      </c>
      <c r="AV45" s="1" t="str">
        <f t="shared" si="2"/>
        <v/>
      </c>
      <c r="AW45" s="1" t="str">
        <f t="shared" si="3"/>
        <v/>
      </c>
      <c r="AX45" s="1" t="str">
        <f t="shared" si="4"/>
        <v/>
      </c>
      <c r="AY45" s="1" t="str">
        <f t="shared" si="5"/>
        <v/>
      </c>
      <c r="AZ45" s="1" t="str">
        <f t="shared" si="6"/>
        <v/>
      </c>
      <c r="BA45" s="1" t="str">
        <f t="shared" si="7"/>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8"/>
        <v/>
      </c>
      <c r="AU46" s="1" t="str">
        <f t="shared" si="9"/>
        <v/>
      </c>
      <c r="AV46" s="1" t="str">
        <f t="shared" si="2"/>
        <v/>
      </c>
      <c r="AW46" s="1" t="str">
        <f t="shared" si="3"/>
        <v/>
      </c>
      <c r="AX46" s="1" t="str">
        <f t="shared" si="4"/>
        <v/>
      </c>
      <c r="AY46" s="1" t="str">
        <f t="shared" si="5"/>
        <v/>
      </c>
      <c r="AZ46" s="1" t="str">
        <f t="shared" si="6"/>
        <v/>
      </c>
      <c r="BA46" s="1" t="str">
        <f t="shared" si="7"/>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8"/>
        <v/>
      </c>
      <c r="AU47" s="1" t="str">
        <f t="shared" si="9"/>
        <v/>
      </c>
      <c r="AV47" s="1" t="str">
        <f t="shared" si="2"/>
        <v/>
      </c>
      <c r="AW47" s="1" t="str">
        <f t="shared" si="3"/>
        <v/>
      </c>
      <c r="AX47" s="1" t="str">
        <f t="shared" si="4"/>
        <v/>
      </c>
      <c r="AY47" s="1" t="str">
        <f t="shared" si="5"/>
        <v/>
      </c>
      <c r="AZ47" s="1" t="str">
        <f t="shared" si="6"/>
        <v/>
      </c>
      <c r="BA47" s="1" t="str">
        <f t="shared" si="7"/>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8"/>
        <v/>
      </c>
      <c r="AU48" s="1" t="str">
        <f t="shared" si="9"/>
        <v/>
      </c>
      <c r="AV48" s="1" t="str">
        <f t="shared" si="2"/>
        <v/>
      </c>
      <c r="AW48" s="1" t="str">
        <f t="shared" si="3"/>
        <v/>
      </c>
      <c r="AX48" s="1" t="str">
        <f t="shared" si="4"/>
        <v/>
      </c>
      <c r="AY48" s="1" t="str">
        <f t="shared" si="5"/>
        <v/>
      </c>
      <c r="AZ48" s="1" t="str">
        <f t="shared" si="6"/>
        <v/>
      </c>
      <c r="BA48" s="1" t="str">
        <f t="shared" si="7"/>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8"/>
        <v/>
      </c>
      <c r="AU49" s="1" t="str">
        <f t="shared" si="9"/>
        <v/>
      </c>
      <c r="AV49" s="1" t="str">
        <f t="shared" si="2"/>
        <v/>
      </c>
      <c r="AW49" s="1" t="str">
        <f t="shared" si="3"/>
        <v/>
      </c>
      <c r="AX49" s="1" t="str">
        <f t="shared" si="4"/>
        <v/>
      </c>
      <c r="AY49" s="1" t="str">
        <f t="shared" si="5"/>
        <v/>
      </c>
      <c r="AZ49" s="1" t="str">
        <f t="shared" si="6"/>
        <v/>
      </c>
      <c r="BA49" s="1" t="str">
        <f t="shared" si="7"/>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8"/>
        <v/>
      </c>
      <c r="AU50" s="1" t="str">
        <f t="shared" si="9"/>
        <v/>
      </c>
      <c r="AV50" s="1" t="str">
        <f t="shared" si="2"/>
        <v/>
      </c>
      <c r="AW50" s="1" t="str">
        <f t="shared" si="3"/>
        <v/>
      </c>
      <c r="AX50" s="1" t="str">
        <f t="shared" si="4"/>
        <v/>
      </c>
      <c r="AY50" s="1" t="str">
        <f t="shared" si="5"/>
        <v/>
      </c>
      <c r="AZ50" s="1" t="str">
        <f t="shared" si="6"/>
        <v/>
      </c>
      <c r="BA50" s="1" t="str">
        <f t="shared" si="7"/>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8"/>
        <v/>
      </c>
      <c r="AU51" s="1" t="str">
        <f t="shared" si="9"/>
        <v/>
      </c>
      <c r="AV51" s="1" t="str">
        <f t="shared" si="2"/>
        <v/>
      </c>
      <c r="AW51" s="1" t="str">
        <f t="shared" si="3"/>
        <v/>
      </c>
      <c r="AX51" s="1" t="str">
        <f t="shared" si="4"/>
        <v/>
      </c>
      <c r="AY51" s="1" t="str">
        <f t="shared" si="5"/>
        <v/>
      </c>
      <c r="AZ51" s="1" t="str">
        <f t="shared" si="6"/>
        <v/>
      </c>
      <c r="BA51" s="1" t="str">
        <f t="shared" si="7"/>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8"/>
        <v/>
      </c>
      <c r="AU52" s="1" t="str">
        <f t="shared" si="9"/>
        <v/>
      </c>
      <c r="AV52" s="1" t="str">
        <f t="shared" si="2"/>
        <v/>
      </c>
      <c r="AW52" s="1" t="str">
        <f t="shared" si="3"/>
        <v/>
      </c>
      <c r="AX52" s="1" t="str">
        <f t="shared" si="4"/>
        <v/>
      </c>
      <c r="AY52" s="1" t="str">
        <f t="shared" si="5"/>
        <v/>
      </c>
      <c r="AZ52" s="1" t="str">
        <f t="shared" si="6"/>
        <v/>
      </c>
      <c r="BA52" s="1" t="str">
        <f t="shared" si="7"/>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8"/>
        <v/>
      </c>
      <c r="AU53" s="1" t="str">
        <f t="shared" si="9"/>
        <v/>
      </c>
      <c r="AV53" s="1" t="str">
        <f t="shared" si="2"/>
        <v/>
      </c>
      <c r="AW53" s="1" t="str">
        <f t="shared" si="3"/>
        <v/>
      </c>
      <c r="AX53" s="1" t="str">
        <f t="shared" si="4"/>
        <v/>
      </c>
      <c r="AY53" s="1" t="str">
        <f t="shared" si="5"/>
        <v/>
      </c>
      <c r="AZ53" s="1" t="str">
        <f t="shared" si="6"/>
        <v/>
      </c>
      <c r="BA53" s="1" t="str">
        <f t="shared" si="7"/>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8"/>
        <v/>
      </c>
      <c r="AU54" s="1" t="str">
        <f t="shared" si="9"/>
        <v/>
      </c>
      <c r="AV54" s="1" t="str">
        <f t="shared" si="2"/>
        <v/>
      </c>
      <c r="AW54" s="1" t="str">
        <f t="shared" si="3"/>
        <v/>
      </c>
      <c r="AX54" s="1" t="str">
        <f t="shared" si="4"/>
        <v/>
      </c>
      <c r="AY54" s="1" t="str">
        <f t="shared" si="5"/>
        <v/>
      </c>
      <c r="AZ54" s="1" t="str">
        <f t="shared" si="6"/>
        <v/>
      </c>
      <c r="BA54" s="1" t="str">
        <f t="shared" si="7"/>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8"/>
        <v/>
      </c>
      <c r="AU55" s="1" t="str">
        <f t="shared" si="9"/>
        <v/>
      </c>
      <c r="AV55" s="1" t="str">
        <f t="shared" si="2"/>
        <v/>
      </c>
      <c r="AW55" s="1" t="str">
        <f t="shared" si="3"/>
        <v/>
      </c>
      <c r="AX55" s="1" t="str">
        <f t="shared" si="4"/>
        <v/>
      </c>
      <c r="AY55" s="1" t="str">
        <f t="shared" si="5"/>
        <v/>
      </c>
      <c r="AZ55" s="1" t="str">
        <f t="shared" si="6"/>
        <v/>
      </c>
      <c r="BA55" s="1" t="str">
        <f t="shared" si="7"/>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8"/>
        <v/>
      </c>
      <c r="AU56" s="1" t="str">
        <f t="shared" si="9"/>
        <v/>
      </c>
      <c r="AV56" s="1" t="str">
        <f t="shared" si="2"/>
        <v/>
      </c>
      <c r="AW56" s="1" t="str">
        <f t="shared" si="3"/>
        <v/>
      </c>
      <c r="AX56" s="1" t="str">
        <f t="shared" si="4"/>
        <v/>
      </c>
      <c r="AY56" s="1" t="str">
        <f t="shared" si="5"/>
        <v/>
      </c>
      <c r="AZ56" s="1" t="str">
        <f t="shared" si="6"/>
        <v/>
      </c>
      <c r="BA56" s="1" t="str">
        <f t="shared" si="7"/>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8"/>
        <v/>
      </c>
      <c r="AU57" s="1" t="str">
        <f t="shared" si="9"/>
        <v/>
      </c>
      <c r="AV57" s="1" t="str">
        <f t="shared" si="2"/>
        <v/>
      </c>
      <c r="AW57" s="1" t="str">
        <f t="shared" si="3"/>
        <v/>
      </c>
      <c r="AX57" s="1" t="str">
        <f t="shared" si="4"/>
        <v/>
      </c>
      <c r="AY57" s="1" t="str">
        <f t="shared" si="5"/>
        <v/>
      </c>
      <c r="AZ57" s="1" t="str">
        <f t="shared" si="6"/>
        <v/>
      </c>
      <c r="BA57" s="1" t="str">
        <f t="shared" si="7"/>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8"/>
        <v/>
      </c>
      <c r="AU58" s="1" t="str">
        <f t="shared" si="9"/>
        <v/>
      </c>
      <c r="AV58" s="1" t="str">
        <f t="shared" si="2"/>
        <v/>
      </c>
      <c r="AW58" s="1" t="str">
        <f t="shared" si="3"/>
        <v/>
      </c>
      <c r="AX58" s="1" t="str">
        <f t="shared" si="4"/>
        <v/>
      </c>
      <c r="AY58" s="1" t="str">
        <f t="shared" si="5"/>
        <v/>
      </c>
      <c r="AZ58" s="1" t="str">
        <f t="shared" si="6"/>
        <v/>
      </c>
      <c r="BA58" s="1" t="str">
        <f t="shared" si="7"/>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8"/>
        <v/>
      </c>
      <c r="AU59" s="1" t="str">
        <f t="shared" si="9"/>
        <v/>
      </c>
      <c r="AV59" s="1" t="str">
        <f t="shared" si="2"/>
        <v/>
      </c>
      <c r="AW59" s="1" t="str">
        <f t="shared" si="3"/>
        <v/>
      </c>
      <c r="AX59" s="1" t="str">
        <f t="shared" si="4"/>
        <v/>
      </c>
      <c r="AY59" s="1" t="str">
        <f t="shared" si="5"/>
        <v/>
      </c>
      <c r="AZ59" s="1" t="str">
        <f t="shared" si="6"/>
        <v/>
      </c>
      <c r="BA59" s="1" t="str">
        <f t="shared" si="7"/>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8"/>
        <v/>
      </c>
      <c r="AU60" s="1" t="str">
        <f t="shared" si="9"/>
        <v/>
      </c>
      <c r="AV60" s="1" t="str">
        <f t="shared" si="2"/>
        <v/>
      </c>
      <c r="AW60" s="1" t="str">
        <f t="shared" si="3"/>
        <v/>
      </c>
      <c r="AX60" s="1" t="str">
        <f t="shared" si="4"/>
        <v/>
      </c>
      <c r="AY60" s="1" t="str">
        <f t="shared" si="5"/>
        <v/>
      </c>
      <c r="AZ60" s="1" t="str">
        <f t="shared" si="6"/>
        <v/>
      </c>
      <c r="BA60" s="1" t="str">
        <f t="shared" si="7"/>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8"/>
        <v/>
      </c>
      <c r="AU61" s="1" t="str">
        <f t="shared" si="9"/>
        <v/>
      </c>
      <c r="AV61" s="1" t="str">
        <f t="shared" si="2"/>
        <v/>
      </c>
      <c r="AW61" s="1" t="str">
        <f t="shared" si="3"/>
        <v/>
      </c>
      <c r="AX61" s="1" t="str">
        <f t="shared" si="4"/>
        <v/>
      </c>
      <c r="AY61" s="1" t="str">
        <f t="shared" si="5"/>
        <v/>
      </c>
      <c r="AZ61" s="1" t="str">
        <f t="shared" si="6"/>
        <v/>
      </c>
      <c r="BA61" s="1" t="str">
        <f t="shared" si="7"/>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8"/>
        <v/>
      </c>
      <c r="AU62" s="1" t="str">
        <f t="shared" si="9"/>
        <v/>
      </c>
      <c r="AV62" s="1" t="str">
        <f t="shared" si="2"/>
        <v/>
      </c>
      <c r="AW62" s="1" t="str">
        <f t="shared" si="3"/>
        <v/>
      </c>
      <c r="AX62" s="1" t="str">
        <f t="shared" si="4"/>
        <v/>
      </c>
      <c r="AY62" s="1" t="str">
        <f t="shared" si="5"/>
        <v/>
      </c>
      <c r="AZ62" s="1" t="str">
        <f t="shared" si="6"/>
        <v/>
      </c>
      <c r="BA62" s="1" t="str">
        <f t="shared" si="7"/>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8"/>
        <v/>
      </c>
      <c r="AU63" s="1" t="str">
        <f t="shared" si="9"/>
        <v/>
      </c>
      <c r="AV63" s="1" t="str">
        <f t="shared" si="2"/>
        <v/>
      </c>
      <c r="AW63" s="1" t="str">
        <f t="shared" si="3"/>
        <v/>
      </c>
      <c r="AX63" s="1" t="str">
        <f t="shared" si="4"/>
        <v/>
      </c>
      <c r="AY63" s="1" t="str">
        <f t="shared" si="5"/>
        <v/>
      </c>
      <c r="AZ63" s="1" t="str">
        <f t="shared" si="6"/>
        <v/>
      </c>
      <c r="BA63" s="1" t="str">
        <f t="shared" si="7"/>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8"/>
        <v/>
      </c>
      <c r="AU64" s="1" t="str">
        <f t="shared" si="9"/>
        <v/>
      </c>
      <c r="AV64" s="1" t="str">
        <f t="shared" si="2"/>
        <v/>
      </c>
      <c r="AW64" s="1" t="str">
        <f t="shared" si="3"/>
        <v/>
      </c>
      <c r="AX64" s="1" t="str">
        <f t="shared" si="4"/>
        <v/>
      </c>
      <c r="AY64" s="1" t="str">
        <f t="shared" si="5"/>
        <v/>
      </c>
      <c r="AZ64" s="1" t="str">
        <f t="shared" si="6"/>
        <v/>
      </c>
      <c r="BA64" s="1" t="str">
        <f t="shared" si="7"/>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8"/>
        <v/>
      </c>
      <c r="AU65" s="1" t="str">
        <f t="shared" si="9"/>
        <v/>
      </c>
      <c r="AV65" s="1" t="str">
        <f t="shared" si="2"/>
        <v/>
      </c>
      <c r="AW65" s="1" t="str">
        <f t="shared" si="3"/>
        <v/>
      </c>
      <c r="AX65" s="1" t="str">
        <f t="shared" si="4"/>
        <v/>
      </c>
      <c r="AY65" s="1" t="str">
        <f t="shared" si="5"/>
        <v/>
      </c>
      <c r="AZ65" s="1" t="str">
        <f t="shared" si="6"/>
        <v/>
      </c>
      <c r="BA65" s="1" t="str">
        <f t="shared" si="7"/>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8"/>
        <v/>
      </c>
      <c r="AU66" s="1" t="str">
        <f t="shared" si="9"/>
        <v/>
      </c>
      <c r="AV66" s="1" t="str">
        <f t="shared" si="2"/>
        <v/>
      </c>
      <c r="AW66" s="1" t="str">
        <f t="shared" si="3"/>
        <v/>
      </c>
      <c r="AX66" s="1" t="str">
        <f t="shared" si="4"/>
        <v/>
      </c>
      <c r="AY66" s="1" t="str">
        <f t="shared" si="5"/>
        <v/>
      </c>
      <c r="AZ66" s="1" t="str">
        <f t="shared" si="6"/>
        <v/>
      </c>
      <c r="BA66" s="1" t="str">
        <f t="shared" si="7"/>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8"/>
        <v/>
      </c>
      <c r="AU67" s="1" t="str">
        <f t="shared" si="9"/>
        <v/>
      </c>
      <c r="AV67" s="1" t="str">
        <f t="shared" si="2"/>
        <v/>
      </c>
      <c r="AW67" s="1" t="str">
        <f t="shared" si="3"/>
        <v/>
      </c>
      <c r="AX67" s="1" t="str">
        <f t="shared" si="4"/>
        <v/>
      </c>
      <c r="AY67" s="1" t="str">
        <f t="shared" si="5"/>
        <v/>
      </c>
      <c r="AZ67" s="1" t="str">
        <f t="shared" si="6"/>
        <v/>
      </c>
      <c r="BA67" s="1" t="str">
        <f t="shared" si="7"/>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8"/>
        <v/>
      </c>
      <c r="AU68" s="1" t="str">
        <f t="shared" si="9"/>
        <v/>
      </c>
      <c r="AV68" s="1" t="str">
        <f t="shared" si="2"/>
        <v/>
      </c>
      <c r="AW68" s="1" t="str">
        <f t="shared" si="3"/>
        <v/>
      </c>
      <c r="AX68" s="1" t="str">
        <f t="shared" si="4"/>
        <v/>
      </c>
      <c r="AY68" s="1" t="str">
        <f t="shared" si="5"/>
        <v/>
      </c>
      <c r="AZ68" s="1" t="str">
        <f t="shared" si="6"/>
        <v/>
      </c>
      <c r="BA68" s="1" t="str">
        <f t="shared" si="7"/>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1:AE1"/>
    <mergeCell ref="A2:AE2"/>
    <mergeCell ref="Y3:AB3"/>
    <mergeCell ref="AC3:AF3"/>
    <mergeCell ref="AG3:AJ3"/>
    <mergeCell ref="AR2:BA2"/>
    <mergeCell ref="AK3:AN3"/>
    <mergeCell ref="A3:D3"/>
    <mergeCell ref="E3:H3"/>
    <mergeCell ref="I3:L3"/>
    <mergeCell ref="M3:P3"/>
    <mergeCell ref="Q3:T3"/>
    <mergeCell ref="U3:X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17" t="s">
        <v>173</v>
      </c>
      <c r="B2" s="17"/>
      <c r="C2" s="17"/>
      <c r="D2" s="17"/>
      <c r="E2" s="17"/>
      <c r="F2" s="17"/>
      <c r="G2" s="17"/>
      <c r="H2" s="17"/>
      <c r="I2" s="17"/>
      <c r="J2" s="17"/>
      <c r="L2" s="17" t="s">
        <v>174</v>
      </c>
      <c r="M2" s="17"/>
      <c r="N2" s="17"/>
      <c r="O2" s="17"/>
      <c r="P2" s="17"/>
      <c r="Q2" s="17"/>
      <c r="R2" s="17"/>
      <c r="S2" s="17"/>
      <c r="T2" s="17"/>
      <c r="U2" s="17"/>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9"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21" t="s">
        <v>166</v>
      </c>
      <c r="B4" s="21"/>
      <c r="C4" s="21"/>
      <c r="D4" s="21"/>
      <c r="E4" s="21"/>
      <c r="F4" s="21"/>
      <c r="G4" s="21"/>
      <c r="H4" s="21"/>
      <c r="J4" s="21" t="s">
        <v>167</v>
      </c>
      <c r="K4" s="21"/>
      <c r="L4" s="21"/>
      <c r="M4" s="21"/>
      <c r="N4" s="21"/>
      <c r="O4" s="21"/>
      <c r="P4" s="21"/>
      <c r="Q4" s="21"/>
      <c r="R4" s="21"/>
      <c r="S4" s="21"/>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2.5277777777777777</v>
      </c>
      <c r="C6" s="6">
        <f>IF(Data_Items!A3="Choose Scale","",VAR(Data_Items!A4:D1004))</f>
        <v>0.59920634920634774</v>
      </c>
      <c r="D6" s="6">
        <f>IF(Data_Items!A3="Choose Scale","",_xlfn.STDEV.P(Data_Items!A4:D1004))</f>
        <v>0.76325731466856028</v>
      </c>
      <c r="E6" s="8">
        <f>IF(A6="","",MAX(P6:P45))</f>
        <v>9</v>
      </c>
      <c r="F6" s="6">
        <f>IF(A6="","",CONFIDENCE(0.05, D6, E6))</f>
        <v>0.49865228256237759</v>
      </c>
      <c r="G6" s="6">
        <f>IF(A6="","",B6-F6)</f>
        <v>2.0291254952153999</v>
      </c>
      <c r="H6" s="6">
        <f>IF(A6="","",B6+F6)</f>
        <v>3.0264300603401555</v>
      </c>
      <c r="J6" s="25" t="str">
        <f>A6</f>
        <v>Intuitive Use</v>
      </c>
      <c r="K6" s="1" t="str">
        <f>IF(A6="","",VLOOKUP(A6,Texts!A1:I30,2,FALSE))</f>
        <v>difficult</v>
      </c>
      <c r="L6" s="1" t="str">
        <f>IF(A6="","",VLOOKUP(A6,Texts!A1:I30,3,FALSE))</f>
        <v>easy</v>
      </c>
      <c r="M6" s="6">
        <f>IF(K6="","",AVERAGE(Data_Items!A4:A1004)-4)</f>
        <v>2.666666666666667</v>
      </c>
      <c r="N6" s="6">
        <f>IF(K6="","",VAR(Data_Items!A4:A1004))</f>
        <v>0.25</v>
      </c>
      <c r="O6" s="6">
        <f>IF(K6="","",_xlfn.STDEV.P(Data_Items!A4:A1004))</f>
        <v>0.47140452079103168</v>
      </c>
      <c r="P6" s="1">
        <f>IF(K6="","",COUNTA(Data_Items!A4:A1004))</f>
        <v>9</v>
      </c>
      <c r="Q6" s="6">
        <f t="shared" ref="Q6:Q45" si="0">IF(K6="","",CONFIDENCE(0.05, O6, P6))</f>
        <v>0.30797862763326167</v>
      </c>
      <c r="R6" s="6">
        <f t="shared" ref="R6:R45" si="1">IF(K6="","",M6-Q6)</f>
        <v>2.3586880390334053</v>
      </c>
      <c r="S6" s="6">
        <f t="shared" ref="S6:S45" si="2">IF(K6="","",M6+Q6)</f>
        <v>2.9746452942999286</v>
      </c>
    </row>
    <row r="7" spans="1:19" x14ac:dyDescent="0.2">
      <c r="A7" s="11" t="str">
        <f>IF(Data_Items!E3="Choose Scale","",Data_Items!E3)</f>
        <v>Trustworthiness of Content</v>
      </c>
      <c r="B7" s="6">
        <f>IF(Data_Items!E3="Choose Scale","",AVERAGE(Data_Items!E4:H1004)-4)</f>
        <v>8.3333333333333037E-2</v>
      </c>
      <c r="C7" s="6">
        <f>IF(Data_Items!E3="Choose Scale","",VAR(Data_Items!E4:H1004))</f>
        <v>3.3928571428571428</v>
      </c>
      <c r="D7" s="6">
        <f>IF(Data_Items!E3="Choose Scale","",_xlfn.STDEV.P(Data_Items!E4:H1004))</f>
        <v>1.8162078931419474</v>
      </c>
      <c r="E7" s="8">
        <f>IF(A7="","",MAX(P6:P45))</f>
        <v>9</v>
      </c>
      <c r="F7" s="6">
        <f t="shared" ref="F7:F15" si="3">IF(A7="","",CONFIDENCE(0.05, D7, E7))</f>
        <v>1.1865673529985292</v>
      </c>
      <c r="G7" s="6">
        <f t="shared" ref="G7:G15" si="4">IF(A7="","",B7-F7)</f>
        <v>-1.1032340196651962</v>
      </c>
      <c r="H7" s="6">
        <f t="shared" ref="H7:H15" si="5">IF(A7="","",B7+F7)</f>
        <v>1.2699006863318623</v>
      </c>
      <c r="J7" s="25"/>
      <c r="K7" s="1" t="str">
        <f>IF(A6="","",VLOOKUP(A6,Texts!A2:I31,4,FALSE))</f>
        <v>illogical</v>
      </c>
      <c r="L7" s="1" t="str">
        <f>IF(A6="","",VLOOKUP(A6,Texts!A1:I30,5,FALSE))</f>
        <v>logical</v>
      </c>
      <c r="M7" s="6">
        <f>IF(K7="","",AVERAGE(Data_Items!B4:B1004)-4)</f>
        <v>2.4444444444444446</v>
      </c>
      <c r="N7" s="6">
        <f>IF(K7="","",VAR(Data_Items!B4:B1004))</f>
        <v>0.77777777777777857</v>
      </c>
      <c r="O7" s="6">
        <f>IF(K7="","",_xlfn.STDEV.P(Data_Items!B4:B1004))</f>
        <v>0.8314794192830981</v>
      </c>
      <c r="P7" s="1">
        <f>IF(K7="","",COUNTA(Data_Items!B4:B1004))</f>
        <v>9</v>
      </c>
      <c r="Q7" s="6">
        <f t="shared" si="0"/>
        <v>0.54322323856038368</v>
      </c>
      <c r="R7" s="6">
        <f t="shared" si="1"/>
        <v>1.901221205884061</v>
      </c>
      <c r="S7" s="6">
        <f t="shared" si="2"/>
        <v>2.9876676830048283</v>
      </c>
    </row>
    <row r="8" spans="1:19" x14ac:dyDescent="0.2">
      <c r="A8" s="11" t="str">
        <f>IF(Data_Items!I3="Choose Scale","",Data_Items!I3)</f>
        <v>Response Behavior</v>
      </c>
      <c r="B8" s="6">
        <f>IF(Data_Items!I3="Choose Scale","",AVERAGE(Data_Items!I4:L1004)-4)</f>
        <v>0.72222222222222232</v>
      </c>
      <c r="C8" s="6">
        <f>IF(Data_Items!I3="Choose Scale","",VAR(Data_Items!I4:L1004))</f>
        <v>3.4634920634920618</v>
      </c>
      <c r="D8" s="6">
        <f>IF(Data_Items!I3="Choose Scale","",_xlfn.STDEV.P(Data_Items!I4:L1004))</f>
        <v>1.835016062768194</v>
      </c>
      <c r="E8" s="8">
        <f>IF(A8="","",MAX(P6:P45))</f>
        <v>9</v>
      </c>
      <c r="F8" s="6">
        <f t="shared" si="3"/>
        <v>1.1988551313593836</v>
      </c>
      <c r="G8" s="6">
        <f t="shared" si="4"/>
        <v>-0.47663290913716128</v>
      </c>
      <c r="H8" s="6">
        <f t="shared" si="5"/>
        <v>1.9210773535816059</v>
      </c>
      <c r="J8" s="25"/>
      <c r="K8" s="1" t="str">
        <f>IF(A6="","",VLOOKUP(A6,Texts!A3:I32,6,FALSE))</f>
        <v>not plausible</v>
      </c>
      <c r="L8" s="1" t="str">
        <f>IF(A6="","",VLOOKUP(A6,Texts!A1:I30,7,FALSE))</f>
        <v>plausible</v>
      </c>
      <c r="M8" s="6">
        <f>IF(K8="","",AVERAGE(Data_Items!C4:C1004)-4)</f>
        <v>2.5555555555555554</v>
      </c>
      <c r="N8" s="6">
        <f>IF(K8="","",VAR(Data_Items!C4:C1004))</f>
        <v>0.52777777777777857</v>
      </c>
      <c r="O8" s="6">
        <f>IF(K8="","",_xlfn.STDEV.P(Data_Items!C4:C1004))</f>
        <v>0.6849348892187751</v>
      </c>
      <c r="P8" s="1">
        <f>IF(K8="","",COUNTA(Data_Items!C4:C1004))</f>
        <v>9</v>
      </c>
      <c r="Q8" s="6">
        <f t="shared" si="0"/>
        <v>0.44748257154124355</v>
      </c>
      <c r="R8" s="6">
        <f t="shared" si="1"/>
        <v>2.1080729840143118</v>
      </c>
      <c r="S8" s="6">
        <f t="shared" si="2"/>
        <v>3.003038127096799</v>
      </c>
    </row>
    <row r="9" spans="1:19" x14ac:dyDescent="0.2">
      <c r="A9" s="11" t="str">
        <f>IF(Data_Items!M3="Choose Scale","",Data_Items!M3)</f>
        <v>Response Quality</v>
      </c>
      <c r="B9" s="6">
        <f>IF(Data_Items!M3="Choose Scale","",AVERAGE(Data_Items!M3:P1004)-4)</f>
        <v>-2.7777777777777679E-2</v>
      </c>
      <c r="C9" s="6">
        <f>IF(Data_Items!M3="Choose Scale","",VAR(Data_Items!M3:P1004))</f>
        <v>3.7992063492063477</v>
      </c>
      <c r="D9" s="6">
        <f>IF(Data_Items!M3="Choose Scale","",_xlfn.STDEV.P(Data_Items!M3:P1004))</f>
        <v>1.9218930353966561</v>
      </c>
      <c r="E9" s="8">
        <f>IF(A9="","",MAX(P6:P45))</f>
        <v>9</v>
      </c>
      <c r="F9" s="6">
        <f t="shared" si="3"/>
        <v>1.2556137105052694</v>
      </c>
      <c r="G9" s="6">
        <f t="shared" si="4"/>
        <v>-1.2833914882830471</v>
      </c>
      <c r="H9" s="6">
        <f t="shared" si="5"/>
        <v>1.2278359327274917</v>
      </c>
      <c r="J9" s="25"/>
      <c r="K9" s="1" t="str">
        <f>IF(A6="","",VLOOKUP(A6,Texts!A3:I33,8,FALSE))</f>
        <v>inconclusive</v>
      </c>
      <c r="L9" s="1" t="str">
        <f>IF(A6="","",VLOOKUP(A6,Texts!A1:I30,9,FALSE))</f>
        <v>conclusive</v>
      </c>
      <c r="M9" s="6">
        <f>IF(K9="","",AVERAGE(Data_Items!D4:D1004)-4)</f>
        <v>2.4444444444444446</v>
      </c>
      <c r="N9" s="6">
        <f>IF(K9="","",VAR(Data_Items!D4:D1004))</f>
        <v>1.0277777777777786</v>
      </c>
      <c r="O9" s="6">
        <f>IF(K9="","",_xlfn.STDEV.P(Data_Items!D4:D1004))</f>
        <v>0.95581391856029185</v>
      </c>
      <c r="P9" s="1">
        <f>IF(K9="","",COUNTA(Data_Items!D4:D1004))</f>
        <v>9</v>
      </c>
      <c r="Q9" s="6">
        <f t="shared" si="0"/>
        <v>0.62445361876675731</v>
      </c>
      <c r="R9" s="6">
        <f t="shared" si="1"/>
        <v>1.8199908256776873</v>
      </c>
      <c r="S9" s="6">
        <f t="shared" si="2"/>
        <v>3.068898063211202</v>
      </c>
    </row>
    <row r="10" spans="1:19" x14ac:dyDescent="0.2">
      <c r="A10" s="11" t="str">
        <f>IF(Data_Items!Q3="Choose Scale","",Data_Items!Q3)</f>
        <v>Clarity</v>
      </c>
      <c r="B10" s="6">
        <f>IF(Data_Items!Q3="Choose Scale","",AVERAGE(Data_Items!Q3:T1004)-4)</f>
        <v>2.5277777777777777</v>
      </c>
      <c r="C10" s="6">
        <f>IF(Data_Items!Q3="Choose Scale","",VAR(Data_Items!Q3:T1004))</f>
        <v>0.54206349206349058</v>
      </c>
      <c r="D10" s="6">
        <f>IF(Data_Items!Q3="Choose Scale","",_xlfn.STDEV.P(Data_Items!Q3:T1004))</f>
        <v>0.72595190807622112</v>
      </c>
      <c r="E10" s="8">
        <f>IF(A10="","",MAX(P6:P45))</f>
        <v>9</v>
      </c>
      <c r="F10" s="6">
        <f t="shared" si="3"/>
        <v>0.474279864779175</v>
      </c>
      <c r="G10" s="6">
        <f t="shared" si="4"/>
        <v>2.0534979129986026</v>
      </c>
      <c r="H10" s="6">
        <f t="shared" si="5"/>
        <v>3.0020576425569527</v>
      </c>
      <c r="J10" s="25" t="str">
        <f>A7</f>
        <v>Trustworthiness of Content</v>
      </c>
      <c r="K10" s="1" t="str">
        <f>IF(A7="","",VLOOKUP(A7,Texts!A1:I30,2,FALSE))</f>
        <v>useless</v>
      </c>
      <c r="L10" s="1" t="str">
        <f>IF(A7="","",VLOOKUP(A7,Texts!A1:I30,3,FALSE))</f>
        <v>useful</v>
      </c>
      <c r="M10" s="6">
        <f>IF(K10="","",AVERAGE(Data_Items!E4:E1004)-4)</f>
        <v>0.22222222222222232</v>
      </c>
      <c r="N10" s="6">
        <f>IF(K10="","",VAR(Data_Items!E4:E1004))</f>
        <v>3.6944444444444429</v>
      </c>
      <c r="O10" s="6">
        <f>IF(K10="","",_xlfn.STDEV.P(Data_Items!E4:E1004))</f>
        <v>1.8121673811444545</v>
      </c>
      <c r="P10" s="1">
        <f>IF(K10="","",COUNTA(Data_Items!E4:E1004))</f>
        <v>9</v>
      </c>
      <c r="Q10" s="6">
        <f t="shared" si="0"/>
        <v>1.1839276003337997</v>
      </c>
      <c r="R10" s="6">
        <f t="shared" si="1"/>
        <v>-0.96170537811157741</v>
      </c>
      <c r="S10" s="6">
        <f t="shared" si="2"/>
        <v>1.4061498225560221</v>
      </c>
    </row>
    <row r="11" spans="1:19" x14ac:dyDescent="0.2">
      <c r="A11" s="11" t="str">
        <f>IF(Data_Items!U3="Choose Scale","",Data_Items!U3)</f>
        <v xml:space="preserve">Risk Handling </v>
      </c>
      <c r="B11" s="6">
        <f>IF(Data_Items!U3="Choose Scale","",AVERAGE(Data_Items!U3:X1004)-4)</f>
        <v>-0.86111111111111116</v>
      </c>
      <c r="C11" s="6">
        <f>IF(Data_Items!U3="Choose Scale","",VAR(Data_Items!U3:X1004))</f>
        <v>2.5801587301587299</v>
      </c>
      <c r="D11" s="6">
        <f>IF(Data_Items!U3="Choose Scale","",_xlfn.STDEV.P(Data_Items!U3:X1004))</f>
        <v>1.5838205877942702</v>
      </c>
      <c r="E11" s="8">
        <f>IF(A11="","",MAX(P6:P45))</f>
        <v>9</v>
      </c>
      <c r="F11" s="6">
        <f t="shared" si="3"/>
        <v>1.0347437700166091</v>
      </c>
      <c r="G11" s="6">
        <f t="shared" si="4"/>
        <v>-1.8958548811277203</v>
      </c>
      <c r="H11" s="6">
        <f t="shared" si="5"/>
        <v>0.17363265890549795</v>
      </c>
      <c r="J11" s="25"/>
      <c r="K11" s="1" t="str">
        <f>IF(A7="","",VLOOKUP(A7,Texts!A1:I30,4,FALSE))</f>
        <v>implausible</v>
      </c>
      <c r="L11" s="1" t="str">
        <f>IF(A7="","",VLOOKUP(A7,Texts!A1:I30,5,FALSE))</f>
        <v>plausible</v>
      </c>
      <c r="M11" s="6">
        <f>IF(K11="","",AVERAGE(Data_Items!F4:F1004)-4)</f>
        <v>0.22222222222222232</v>
      </c>
      <c r="N11" s="6">
        <f>IF(K11="","",VAR(Data_Items!F4:F1004))</f>
        <v>4.4444444444444429</v>
      </c>
      <c r="O11" s="6">
        <f>IF(K11="","",_xlfn.STDEV.P(Data_Items!F4:F1004))</f>
        <v>1.987615979999813</v>
      </c>
      <c r="P11" s="1">
        <f>IF(K11="","",COUNTA(Data_Items!F4:F1004))</f>
        <v>9</v>
      </c>
      <c r="Q11" s="6">
        <f t="shared" si="0"/>
        <v>1.2985519119653057</v>
      </c>
      <c r="R11" s="6">
        <f t="shared" si="1"/>
        <v>-1.0763296897430834</v>
      </c>
      <c r="S11" s="6">
        <f t="shared" si="2"/>
        <v>1.520774134187528</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-0.11111111111111116</v>
      </c>
      <c r="N12" s="6">
        <f>IF(K12="","",VAR(Data_Items!G4:G1004))</f>
        <v>3.1111111111111107</v>
      </c>
      <c r="O12" s="6">
        <f>IF(K12="","",_xlfn.STDEV.P(Data_Items!G4:G1004))</f>
        <v>1.6629588385661962</v>
      </c>
      <c r="P12" s="1">
        <f>IF(K12="","",COUNTA(Data_Items!G4:G1004))</f>
        <v>9</v>
      </c>
      <c r="Q12" s="6">
        <f t="shared" si="0"/>
        <v>1.0864464771207674</v>
      </c>
      <c r="R12" s="6">
        <f t="shared" si="1"/>
        <v>-1.1975575882318785</v>
      </c>
      <c r="S12" s="6">
        <f t="shared" si="2"/>
        <v>0.9753353660096562</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0</v>
      </c>
      <c r="N13" s="6">
        <f>IF(K13="","",VAR(Data_Items!H4:H1004))</f>
        <v>3.5</v>
      </c>
      <c r="O13" s="6">
        <f>IF(K13="","",_xlfn.STDEV.P(Data_Items!H4:H1004))</f>
        <v>1.7638342073763937</v>
      </c>
      <c r="P13" s="1">
        <f>IF(K13="","",COUNTA(Data_Items!H4:H1004))</f>
        <v>9</v>
      </c>
      <c r="Q13" s="6">
        <f t="shared" si="0"/>
        <v>1.1523505070524946</v>
      </c>
      <c r="R13" s="6">
        <f t="shared" si="1"/>
        <v>-1.1523505070524946</v>
      </c>
      <c r="S13" s="6">
        <f t="shared" si="2"/>
        <v>1.1523505070524946</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0.66666666666666696</v>
      </c>
      <c r="N14" s="6">
        <f>IF(K14="","",VAR(Data_Items!I4:I1004))</f>
        <v>4.25</v>
      </c>
      <c r="O14" s="6">
        <f>IF(K14="","",_xlfn.STDEV.P(Data_Items!I4:I1004))</f>
        <v>1.9436506316151001</v>
      </c>
      <c r="P14" s="1">
        <f>IF(K14="","",COUNTA(Data_Items!I4:I1004))</f>
        <v>9</v>
      </c>
      <c r="Q14" s="6">
        <f t="shared" si="0"/>
        <v>1.2698284121647077</v>
      </c>
      <c r="R14" s="6">
        <f t="shared" si="1"/>
        <v>-0.60316174549804069</v>
      </c>
      <c r="S14" s="6">
        <f t="shared" si="2"/>
        <v>1.9364950788313746</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1.1111111111111107</v>
      </c>
      <c r="N15" s="6">
        <f>IF(K15="","",VAR(Data_Items!J4:J1004))</f>
        <v>4.1111111111111107</v>
      </c>
      <c r="O15" s="6">
        <f>IF(K15="","",_xlfn.STDEV.P(Data_Items!J4:J1004))</f>
        <v>1.9116278371205837</v>
      </c>
      <c r="P15" s="1">
        <f>IF(K15="","",COUNTA(Data_Items!J4:J1004))</f>
        <v>9</v>
      </c>
      <c r="Q15" s="6">
        <f t="shared" si="0"/>
        <v>1.2489072375335146</v>
      </c>
      <c r="R15" s="6">
        <f t="shared" si="1"/>
        <v>-0.13779612642240391</v>
      </c>
      <c r="S15" s="6">
        <f t="shared" si="2"/>
        <v>2.3600183486446253</v>
      </c>
    </row>
    <row r="16" spans="1:19" x14ac:dyDescent="0.2">
      <c r="J16" s="25"/>
      <c r="K16" s="1" t="str">
        <f>IF(A8="","",VLOOKUP(A8,Texts!A1:I30,6,FALSE))</f>
        <v>unlikeable</v>
      </c>
      <c r="L16" s="1" t="str">
        <f>IF(A8="","",VLOOKUP(A8,Texts!A1:I30,7,FALSE))</f>
        <v>likeable</v>
      </c>
      <c r="M16" s="6">
        <f>IF(K16="","",AVERAGE(Data_Items!K4:K1004)-4)</f>
        <v>0.55555555555555536</v>
      </c>
      <c r="N16" s="6">
        <f>IF(K16="","",VAR(Data_Items!K4:K1004))</f>
        <v>3.5277777777777786</v>
      </c>
      <c r="O16" s="6">
        <f>IF(K16="","",_xlfn.STDEV.P(Data_Items!K4:K1004))</f>
        <v>1.7708197167232476</v>
      </c>
      <c r="P16" s="1">
        <f>IF(K16="","",COUNTA(Data_Items!K4:K1004))</f>
        <v>9</v>
      </c>
      <c r="Q16" s="6">
        <f t="shared" si="0"/>
        <v>1.156914289296995</v>
      </c>
      <c r="R16" s="6">
        <f t="shared" si="1"/>
        <v>-0.60135873374143967</v>
      </c>
      <c r="S16" s="6">
        <f t="shared" si="2"/>
        <v>1.7124698448525504</v>
      </c>
    </row>
    <row r="17" spans="1:19" x14ac:dyDescent="0.2">
      <c r="J17" s="25"/>
      <c r="K17" s="1" t="str">
        <f>IF(A8="","",VLOOKUP(A8,Texts!A1:I30,8,FALSE))</f>
        <v>boring</v>
      </c>
      <c r="L17" s="1" t="str">
        <f>IF(A8="","",VLOOKUP(A8,Texts!A1:I30,9,FALSE))</f>
        <v>entertaining</v>
      </c>
      <c r="M17" s="6">
        <f>IF(K17="","",AVERAGE(Data_Items!L4:L1004)-4)</f>
        <v>0.55555555555555536</v>
      </c>
      <c r="N17" s="6">
        <f>IF(K17="","",VAR(Data_Items!L4:L1004))</f>
        <v>3.0277777777777786</v>
      </c>
      <c r="O17" s="6">
        <f>IF(K17="","",_xlfn.STDEV.P(Data_Items!L4:L1004))</f>
        <v>1.640535895581489</v>
      </c>
      <c r="P17" s="1">
        <f>IF(K17="","",COUNTA(Data_Items!L4:L1004))</f>
        <v>9</v>
      </c>
      <c r="Q17" s="6">
        <f t="shared" si="0"/>
        <v>1.0717970902282936</v>
      </c>
      <c r="R17" s="6">
        <f t="shared" si="1"/>
        <v>-0.51624153467273826</v>
      </c>
      <c r="S17" s="6">
        <f t="shared" si="2"/>
        <v>1.627352645783849</v>
      </c>
    </row>
    <row r="18" spans="1:19" x14ac:dyDescent="0.2">
      <c r="A18" s="17" t="s">
        <v>169</v>
      </c>
      <c r="B18" s="17"/>
      <c r="C18" s="17"/>
      <c r="D18" s="17"/>
      <c r="E18" s="17"/>
      <c r="F18" s="17"/>
      <c r="G18" s="17"/>
      <c r="H18" s="17"/>
      <c r="J18" s="25" t="str">
        <f>A9</f>
        <v>Response Quality</v>
      </c>
      <c r="K18" s="1" t="str">
        <f>IF(A9="","",VLOOKUP(A9,Texts!A1:I30,2,FALSE))</f>
        <v>inappropriate</v>
      </c>
      <c r="L18" s="1" t="str">
        <f>IF(A9="","",VLOOKUP(A9,Texts!A1:I30,3,FALSE))</f>
        <v>suitable</v>
      </c>
      <c r="M18" s="6">
        <f>IF(K18="","",AVERAGE(Data_Items!M4:M1004)-4)</f>
        <v>0.11111111111111072</v>
      </c>
      <c r="N18" s="6">
        <f>IF(K18="","",VAR(Data_Items!M4:M1004))</f>
        <v>4.6111111111111107</v>
      </c>
      <c r="O18" s="6">
        <f>IF(K18="","",_xlfn.STDEV.P(Data_Items!M4:M1004))</f>
        <v>2.0245407953653998</v>
      </c>
      <c r="P18" s="1">
        <f>IF(K18="","",COUNTA(Data_Items!M4:M1004))</f>
        <v>9</v>
      </c>
      <c r="Q18" s="6">
        <f t="shared" si="0"/>
        <v>1.3226756813827527</v>
      </c>
      <c r="R18" s="6">
        <f t="shared" si="1"/>
        <v>-1.211564570271642</v>
      </c>
      <c r="S18" s="6">
        <f t="shared" si="2"/>
        <v>1.4337867924938634</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-0.11111111111111116</v>
      </c>
      <c r="N19" s="6">
        <f>IF(K19="","",VAR(Data_Items!N4:N1004))</f>
        <v>4.6111111111111107</v>
      </c>
      <c r="O19" s="6">
        <f>IF(K19="","",_xlfn.STDEV.P(Data_Items!N4:N1004))</f>
        <v>2.0245407953653998</v>
      </c>
      <c r="P19" s="1">
        <f>IF(K19="","",COUNTA(Data_Items!N4:N1004))</f>
        <v>9</v>
      </c>
      <c r="Q19" s="6">
        <f t="shared" si="0"/>
        <v>1.3226756813827527</v>
      </c>
      <c r="R19" s="6">
        <f t="shared" si="1"/>
        <v>-1.4337867924938639</v>
      </c>
      <c r="S19" s="6">
        <f t="shared" si="2"/>
        <v>1.2115645702716415</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-0.11111111111111116</v>
      </c>
      <c r="N20" s="6">
        <f>IF(K20="","",VAR(Data_Items!O4:O1004))</f>
        <v>2.6111111111111107</v>
      </c>
      <c r="O20" s="6">
        <f>IF(K20="","",_xlfn.STDEV.P(Data_Items!O4:O1004))</f>
        <v>1.5234788000891208</v>
      </c>
      <c r="P20" s="1">
        <f>IF(K20="","",COUNTA(Data_Items!O4:O1004))</f>
        <v>9</v>
      </c>
      <c r="Q20" s="6">
        <f t="shared" si="0"/>
        <v>0.99532119312832446</v>
      </c>
      <c r="R20" s="6">
        <f t="shared" si="1"/>
        <v>-1.1064323042394357</v>
      </c>
      <c r="S20" s="6">
        <f t="shared" si="2"/>
        <v>0.88421008201721329</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0</v>
      </c>
      <c r="N21" s="6">
        <f>IF(K21="","",VAR(Data_Items!P4:P1004))</f>
        <v>4.75</v>
      </c>
      <c r="O21" s="6">
        <f>IF(K21="","",_xlfn.STDEV.P(Data_Items!P4:P1004))</f>
        <v>2.0548046676563256</v>
      </c>
      <c r="P21" s="1">
        <f>IF(K21="","",COUNTA(Data_Items!P4:P1004))</f>
        <v>9</v>
      </c>
      <c r="Q21" s="6">
        <f t="shared" si="0"/>
        <v>1.3424477146237308</v>
      </c>
      <c r="R21" s="6">
        <f t="shared" si="1"/>
        <v>-1.3424477146237308</v>
      </c>
      <c r="S21" s="6">
        <f t="shared" si="2"/>
        <v>1.3424477146237308</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2.5555555555555554</v>
      </c>
      <c r="N22" s="6">
        <f>IF(K22="","",VAR(Data_Items!Q4:Q1004))</f>
        <v>0.52777777777777857</v>
      </c>
      <c r="O22" s="6">
        <f>IF(K22="","",_xlfn.STDEV.P(Data_Items!Q4:Q1004))</f>
        <v>0.6849348892187751</v>
      </c>
      <c r="P22" s="1">
        <f>IF(K22="","",COUNTA(Data_Items!Q4:Q1004))</f>
        <v>9</v>
      </c>
      <c r="Q22" s="6">
        <f t="shared" si="0"/>
        <v>0.44748257154124355</v>
      </c>
      <c r="R22" s="6">
        <f t="shared" si="1"/>
        <v>2.1080729840143118</v>
      </c>
      <c r="S22" s="6">
        <f t="shared" si="2"/>
        <v>3.003038127096799</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2.4444444444444446</v>
      </c>
      <c r="N23" s="6">
        <f>IF(K23="","",VAR(Data_Items!R4:R1004))</f>
        <v>0.77777777777777857</v>
      </c>
      <c r="O23" s="6">
        <f>IF(K23="","",_xlfn.STDEV.P(Data_Items!R4:R1004))</f>
        <v>0.8314794192830981</v>
      </c>
      <c r="P23" s="1">
        <f>IF(K23="","",COUNTA(Data_Items!R4:R1004))</f>
        <v>9</v>
      </c>
      <c r="Q23" s="6">
        <f t="shared" si="0"/>
        <v>0.54322323856038368</v>
      </c>
      <c r="R23" s="6">
        <f t="shared" si="1"/>
        <v>1.901221205884061</v>
      </c>
      <c r="S23" s="6">
        <f t="shared" si="2"/>
        <v>2.9876676830048283</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2.5555555555555554</v>
      </c>
      <c r="N24" s="6">
        <f>IF(K24="","",VAR(Data_Items!S4:S1004))</f>
        <v>0.52777777777777857</v>
      </c>
      <c r="O24" s="6">
        <f>IF(K24="","",_xlfn.STDEV.P(Data_Items!S4:S1004))</f>
        <v>0.6849348892187751</v>
      </c>
      <c r="P24" s="1">
        <f>IF(K24="","",COUNTA(Data_Items!S4:S1004))</f>
        <v>9</v>
      </c>
      <c r="Q24" s="6">
        <f t="shared" si="0"/>
        <v>0.44748257154124355</v>
      </c>
      <c r="R24" s="6">
        <f t="shared" si="1"/>
        <v>2.1080729840143118</v>
      </c>
      <c r="S24" s="6">
        <f t="shared" si="2"/>
        <v>3.003038127096799</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2.5555555555555554</v>
      </c>
      <c r="N25" s="6">
        <f>IF(K25="","",VAR(Data_Items!T4:T1004))</f>
        <v>0.52777777777777857</v>
      </c>
      <c r="O25" s="6">
        <f>IF(K25="","",_xlfn.STDEV.P(Data_Items!T4:T1004))</f>
        <v>0.6849348892187751</v>
      </c>
      <c r="P25" s="1">
        <f>IF(K25="","",COUNTA(Data_Items!T4:T1004))</f>
        <v>9</v>
      </c>
      <c r="Q25" s="6">
        <f t="shared" si="0"/>
        <v>0.44748257154124355</v>
      </c>
      <c r="R25" s="6">
        <f t="shared" si="1"/>
        <v>2.1080729840143118</v>
      </c>
      <c r="S25" s="6">
        <f t="shared" si="2"/>
        <v>3.003038127096799</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-1.1111111111111112</v>
      </c>
      <c r="N26" s="6">
        <f>IF(K26="","",VAR(Data_Items!U4:U1004))</f>
        <v>2.1111111111111107</v>
      </c>
      <c r="O26" s="6">
        <f>IF(K26="","",_xlfn.STDEV.P(Data_Items!U4:U1004))</f>
        <v>1.3698697784375502</v>
      </c>
      <c r="P26" s="1">
        <f>IF(K26="","",COUNTA(Data_Items!U4:U1004))</f>
        <v>9</v>
      </c>
      <c r="Q26" s="6">
        <f t="shared" si="0"/>
        <v>0.89496514308248709</v>
      </c>
      <c r="R26" s="6">
        <f t="shared" si="1"/>
        <v>-2.0060762541935984</v>
      </c>
      <c r="S26" s="6">
        <f t="shared" si="2"/>
        <v>-0.21614596802862407</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-1.1111111111111112</v>
      </c>
      <c r="N27" s="6">
        <f>IF(K27="","",VAR(Data_Items!V4:V1004))</f>
        <v>2.8611111111111107</v>
      </c>
      <c r="O27" s="6">
        <f>IF(K27="","",_xlfn.STDEV.P(Data_Items!V4:V1004))</f>
        <v>1.5947444549341472</v>
      </c>
      <c r="P27" s="1">
        <f>IF(K27="","",COUNTA(Data_Items!V4:V1004))</f>
        <v>9</v>
      </c>
      <c r="Q27" s="6">
        <f t="shared" si="0"/>
        <v>1.0418805654052956</v>
      </c>
      <c r="R27" s="6">
        <f t="shared" si="1"/>
        <v>-2.1529916765164065</v>
      </c>
      <c r="S27" s="6">
        <f t="shared" si="2"/>
        <v>-6.9230545705815549E-2</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-0.88888888888888884</v>
      </c>
      <c r="N28" s="6">
        <f>IF(K28="","",VAR(Data_Items!W4:W1004))</f>
        <v>3.8611111111111107</v>
      </c>
      <c r="O28" s="6">
        <f>IF(K28="","",_xlfn.STDEV.P(Data_Items!W4:W1004))</f>
        <v>1.8525924445036741</v>
      </c>
      <c r="P28" s="1">
        <f>IF(K28="","",COUNTA(Data_Items!W4:W1004))</f>
        <v>9</v>
      </c>
      <c r="Q28" s="6">
        <f t="shared" si="0"/>
        <v>1.2103381564194065</v>
      </c>
      <c r="R28" s="6">
        <f t="shared" si="1"/>
        <v>-2.0992270453082953</v>
      </c>
      <c r="S28" s="6">
        <f t="shared" si="2"/>
        <v>0.32144926753051761</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-0.33333333333333348</v>
      </c>
      <c r="N29" s="6">
        <f>IF(K29="","",VAR(Data_Items!X4:X1004))</f>
        <v>2</v>
      </c>
      <c r="O29" s="6">
        <f>IF(K29="","",_xlfn.STDEV.P(Data_Items!X4:X1004))</f>
        <v>1.3333333333333333</v>
      </c>
      <c r="P29" s="1">
        <f>IF(K29="","",COUNTA(Data_Items!X4:X1004))</f>
        <v>9</v>
      </c>
      <c r="Q29" s="6">
        <f t="shared" si="0"/>
        <v>0.87109510424002379</v>
      </c>
      <c r="R29" s="6">
        <f t="shared" si="1"/>
        <v>-1.2044284375733572</v>
      </c>
      <c r="S29" s="6">
        <f t="shared" si="2"/>
        <v>0.53776177090669031</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9" t="s">
        <v>165</v>
      </c>
      <c r="B2" s="19"/>
      <c r="C2" s="19"/>
      <c r="D2" s="19"/>
      <c r="E2" s="19"/>
      <c r="F2" s="19"/>
      <c r="G2" s="19"/>
      <c r="H2" s="19"/>
      <c r="I2" s="19"/>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0.66143782776614801</v>
      </c>
      <c r="C5" s="6">
        <f>IF($A5="","",CORREL(Data_Items!A4:A1004,Data_Items!C4:C1004))</f>
        <v>0.57353933467640439</v>
      </c>
      <c r="D5" s="6">
        <f>IF($A5="","",CORREL(Data_Items!A4:A1004,Data_Items!D4:D1004))</f>
        <v>0.32879797461071447</v>
      </c>
      <c r="E5" s="6">
        <f>IF($A5="","",CORREL(Data_Items!B4:B1004,Data_Items!C4:C1004))</f>
        <v>0.93214321723842941</v>
      </c>
      <c r="F5" s="6">
        <f>IF($A5="","",CORREL(Data_Items!B4:B1004,Data_Items!D4:D1004))</f>
        <v>0.59030127770113994</v>
      </c>
      <c r="G5" s="6">
        <f>IF($A5="","",CORREL(Data_Items!C4:C1004,Data_Items!D4:D1004))</f>
        <v>0.81088785788506812</v>
      </c>
      <c r="H5" s="6">
        <f>IF($A5="","",AVERAGE(B5:G5))</f>
        <v>0.64951791497965072</v>
      </c>
      <c r="I5" s="10">
        <f>IF(A5="","",(4*H5)/(1+3*H5))</f>
        <v>0.88113423890545162</v>
      </c>
    </row>
    <row r="6" spans="1:9" x14ac:dyDescent="0.2">
      <c r="A6" s="11" t="str">
        <f>IF(Data_Items!E3="Choose Scale","",Data_Items!E3)</f>
        <v>Trustworthiness of Content</v>
      </c>
      <c r="B6" s="6">
        <f>IF($A6="","",CORREL(Data_Items!E4:E1004,Data_Items!F4:F1004))</f>
        <v>0.60324934681778997</v>
      </c>
      <c r="C6" s="6">
        <f>IF($A6="","",CORREL(Data_Items!E4:E1004,Data_Items!G4:G1004))</f>
        <v>0.9299530640824557</v>
      </c>
      <c r="D6" s="6">
        <f>IF($A6="","",CORREL(Data_Items!E4:E1004,Data_Items!H4:H1004))</f>
        <v>0.9385667936851263</v>
      </c>
      <c r="E6" s="6">
        <f>IF($A6="","",CORREL(Data_Items!F4:F1004,Data_Items!G4:G1004))</f>
        <v>0.61255466228387667</v>
      </c>
      <c r="F6" s="6">
        <f>IF($A6="","",CORREL(Data_Items!F4:F1004,Data_Items!H4:H1004))</f>
        <v>0.63386569104638746</v>
      </c>
      <c r="G6" s="6">
        <f>IF($A6="","",CORREL(Data_Items!G4:G1004,Data_Items!H4:H1004))</f>
        <v>0.98489873093840541</v>
      </c>
      <c r="H6" s="6">
        <f t="shared" ref="H6:H14" si="0">IF($A6="","",AVERAGE(B6:G6))</f>
        <v>0.78384804814234021</v>
      </c>
      <c r="I6" s="10">
        <f t="shared" ref="I6:I14" si="1">IF(A6="","",(4*H6)/(1+3*H6))</f>
        <v>0.93550675672373906</v>
      </c>
    </row>
    <row r="7" spans="1:9" x14ac:dyDescent="0.2">
      <c r="A7" s="11" t="str">
        <f>IF(Data_Items!I3="Choose Scale","",Data_Items!I3)</f>
        <v>Response Behavior</v>
      </c>
      <c r="B7" s="6">
        <f>IF($A7="","",CORREL(Data_Items!I4:I1004,Data_Items!J4:J1004))</f>
        <v>0.78748407004353871</v>
      </c>
      <c r="C7" s="6">
        <f>IF($A7="","",CORREL(Data_Items!I4:I1004,Data_Items!K4:K1004))</f>
        <v>0.79629759287279467</v>
      </c>
      <c r="D7" s="6">
        <f>IF($A7="","",CORREL(Data_Items!I4:I1004,Data_Items!L4:L1004))</f>
        <v>0.65045959093455452</v>
      </c>
      <c r="E7" s="6">
        <f>IF($A7="","",CORREL(Data_Items!J4:J1004,Data_Items!K4:K1004))</f>
        <v>0.90081215867814957</v>
      </c>
      <c r="F7" s="6">
        <f>IF($A7="","",CORREL(Data_Items!J4:J1004,Data_Items!L4:L1004))</f>
        <v>0.68891231195854197</v>
      </c>
      <c r="G7" s="6">
        <f>IF($A7="","",CORREL(Data_Items!K4:K1004,Data_Items!L4:L1004))</f>
        <v>0.77343938406356783</v>
      </c>
      <c r="H7" s="6">
        <f t="shared" si="0"/>
        <v>0.76623418475852445</v>
      </c>
      <c r="I7" s="10">
        <f t="shared" si="1"/>
        <v>0.92913401211682967</v>
      </c>
    </row>
    <row r="8" spans="1:9" x14ac:dyDescent="0.2">
      <c r="A8" s="11" t="str">
        <f>IF(Data_Items!M3="Choose Scale","",Data_Items!M3)</f>
        <v>Response Quality</v>
      </c>
      <c r="B8" s="6">
        <f>IF($A8="","",CORREL(Data_Items!M4:M1004,Data_Items!N4:N1004))</f>
        <v>0.92469879518072262</v>
      </c>
      <c r="C8" s="6">
        <f>IF($A8="","",CORREL(Data_Items!M4:M1004,Data_Items!O4:O1004))</f>
        <v>0.94063231744742115</v>
      </c>
      <c r="D8" s="6">
        <f>IF($A8="","",CORREL(Data_Items!M4:M1004,Data_Items!P4:P1004))</f>
        <v>0.88140265512225624</v>
      </c>
      <c r="E8" s="6">
        <f>IF($A8="","",CORREL(Data_Items!N4:N1004,Data_Items!O4:O1004))</f>
        <v>0.8966027196094567</v>
      </c>
      <c r="F8" s="6">
        <f>IF($A8="","",CORREL(Data_Items!N4:N1004,Data_Items!P4:P1004))</f>
        <v>0.9348209978569384</v>
      </c>
      <c r="G8" s="6">
        <f>IF($A8="","",CORREL(Data_Items!O4:O1004,Data_Items!P4:P1004))</f>
        <v>0.8873409830255643</v>
      </c>
      <c r="H8" s="6">
        <f t="shared" si="0"/>
        <v>0.91091641137372648</v>
      </c>
      <c r="I8" s="10">
        <f t="shared" si="1"/>
        <v>0.97613459060899199</v>
      </c>
    </row>
    <row r="9" spans="1:9" x14ac:dyDescent="0.2">
      <c r="A9" s="11" t="str">
        <f>IF(Data_Items!Q3="Choose Scale","",Data_Items!Q3)</f>
        <v>Clarity</v>
      </c>
      <c r="B9" s="6">
        <f>IF($A9="","",CORREL(Data_Items!Q4:Q1004,Data_Items!R4:R1004))</f>
        <v>0.93214321723842941</v>
      </c>
      <c r="C9" s="6">
        <f>IF($A9="","",CORREL(Data_Items!Q4:Q1004,Data_Items!S4:S1004))</f>
        <v>1</v>
      </c>
      <c r="D9" s="6">
        <f>IF($A9="","",CORREL(Data_Items!Q4:Q1004,Data_Items!T4:T1004))</f>
        <v>1</v>
      </c>
      <c r="E9" s="6">
        <f>IF($A9="","",CORREL(Data_Items!R4:R1004,Data_Items!S4:S1004))</f>
        <v>0.93214321723842941</v>
      </c>
      <c r="F9" s="6">
        <f>IF($A9="","",CORREL(Data_Items!R4:R1004,Data_Items!T4:T1004))</f>
        <v>0.93214321723842941</v>
      </c>
      <c r="G9" s="6">
        <f>IF($A9="","",CORREL(Data_Items!S4:S1004,Data_Items!T4:T1004))</f>
        <v>1</v>
      </c>
      <c r="H9" s="6">
        <f t="shared" si="0"/>
        <v>0.96607160861921459</v>
      </c>
      <c r="I9" s="10">
        <f t="shared" si="1"/>
        <v>0.99129642852011857</v>
      </c>
    </row>
    <row r="10" spans="1:9" x14ac:dyDescent="0.2">
      <c r="A10" s="11" t="str">
        <f>IF(Data_Items!U3="Choose Scale","",Data_Items!U3)</f>
        <v xml:space="preserve">Risk Handling </v>
      </c>
      <c r="B10" s="6">
        <f>IF($A10="","",CORREL(Data_Items!U4:U1004,Data_Items!V4:V1004))</f>
        <v>0.8081288910488087</v>
      </c>
      <c r="C10" s="6">
        <f>IF($A10="","",CORREL(Data_Items!U4:U1004,Data_Items!W4:W1004))</f>
        <v>0.70538108589238624</v>
      </c>
      <c r="D10" s="6">
        <f>IF($A10="","",CORREL(Data_Items!U4:U1004,Data_Items!X4:X1004))</f>
        <v>-8.1110710565381314E-2</v>
      </c>
      <c r="E10" s="6">
        <f>IF($A10="","",CORREL(Data_Items!V4:V1004,Data_Items!W4:W1004))</f>
        <v>0.94439228598621672</v>
      </c>
      <c r="F10" s="6">
        <f>IF($A10="","",CORREL(Data_Items!V4:V1004,Data_Items!X4:X1004))</f>
        <v>0.4006214832176801</v>
      </c>
      <c r="G10" s="6">
        <f>IF($A10="","",CORREL(Data_Items!W4:W1004,Data_Items!X4:X1004))</f>
        <v>0.46481411152565211</v>
      </c>
      <c r="H10" s="6">
        <f t="shared" si="0"/>
        <v>0.54037119118422716</v>
      </c>
      <c r="I10" s="10">
        <f t="shared" si="1"/>
        <v>0.82464368829589185</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0.182564166515953</v>
      </c>
      <c r="J1" s="14" t="s">
        <v>178</v>
      </c>
      <c r="K1" s="15">
        <f>_xlfn.STDEV.P(K4:K1004)</f>
        <v>0.76549161888232597</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0.81081081081081086</v>
      </c>
      <c r="B4" s="6">
        <f>IF(OR(Data_Items!AS4="",Data_Importance!M4=""),"",Data_Items!AS4*Data_Importance!M4)</f>
        <v>0.32432432432432434</v>
      </c>
      <c r="C4" s="6">
        <f>IF(OR(Data_Items!AT4="",Data_Importance!N4=""),"",Data_Items!AT4*Data_Importance!N4)</f>
        <v>0.69369369369369371</v>
      </c>
      <c r="D4" s="6">
        <f>IF(OR(Data_Items!AU4="",Data_Importance!O4=""),"",Data_Items!AU4*Data_Importance!O4)</f>
        <v>0.14594594594594595</v>
      </c>
      <c r="E4" s="6">
        <f>IF(OR(Data_Items!AV4="",Data_Importance!P4=""),"",Data_Items!AV4*Data_Importance!P4)</f>
        <v>0.77702702702702708</v>
      </c>
      <c r="F4" s="6">
        <f>IF(OR(Data_Items!AW4="",Data_Importance!Q4=""),"",Data_Items!AW4*Data_Importance!Q4)</f>
        <v>0.30405405405405406</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-0.94414414414414427</v>
      </c>
    </row>
    <row r="5" spans="1:12" x14ac:dyDescent="0.2">
      <c r="A5" s="6">
        <f>IF(OR(Data_Items!AR5="",Data_Importance!L5=""),"",Data_Items!AR5*Data_Importance!L5)</f>
        <v>0.86538461538461531</v>
      </c>
      <c r="B5" s="6" t="str">
        <f>IF(OR(Data_Items!AS5="",Data_Importance!M5=""),"",Data_Items!AS5*Data_Importance!M5)</f>
        <v/>
      </c>
      <c r="C5" s="6">
        <f>IF(OR(Data_Items!AT5="",Data_Importance!N5=""),"",Data_Items!AT5*Data_Importance!N5)</f>
        <v>1.0170940170940173</v>
      </c>
      <c r="D5" s="6">
        <f>IF(OR(Data_Items!AU5="",Data_Importance!O5=""),"",Data_Items!AU5*Data_Importance!O5)</f>
        <v>0.8</v>
      </c>
      <c r="E5" s="6">
        <f>IF(OR(Data_Items!AV5="",Data_Importance!P5=""),"",Data_Items!AV5*Data_Importance!P5)</f>
        <v>1.2564102564102564</v>
      </c>
      <c r="F5" s="6">
        <f>IF(OR(Data_Items!AW5="",Data_Importance!Q5=""),"",Data_Items!AW5*Data_Importance!Q5)</f>
        <v>0.80769230769230771</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0.74658119658119659</v>
      </c>
    </row>
    <row r="6" spans="1:12" x14ac:dyDescent="0.2">
      <c r="A6" s="6">
        <f>IF(OR(Data_Items!AR6="",Data_Importance!L6=""),"",Data_Items!AR6*Data_Importance!L6)</f>
        <v>1.0294117647058825</v>
      </c>
      <c r="B6" s="6">
        <f>IF(OR(Data_Items!AS6="",Data_Importance!M6=""),"",Data_Items!AS6*Data_Importance!M6)</f>
        <v>0.61764705882352944</v>
      </c>
      <c r="C6" s="6">
        <f>IF(OR(Data_Items!AT6="",Data_Importance!N6=""),"",Data_Items!AT6*Data_Importance!N6)</f>
        <v>0.74509803921568618</v>
      </c>
      <c r="D6" s="6">
        <f>IF(OR(Data_Items!AU6="",Data_Importance!O6=""),"",Data_Items!AU6*Data_Importance!O6)</f>
        <v>0.49411764705882355</v>
      </c>
      <c r="E6" s="6">
        <f>IF(OR(Data_Items!AV6="",Data_Importance!P6=""),"",Data_Items!AV6*Data_Importance!P6)</f>
        <v>0.82352941176470584</v>
      </c>
      <c r="F6" s="6">
        <f>IF(OR(Data_Items!AW6="",Data_Importance!Q6=""),"",Data_Items!AW6*Data_Importance!Q6)</f>
        <v>0.61764705882352944</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0.32745098039215748</v>
      </c>
    </row>
    <row r="7" spans="1:12" x14ac:dyDescent="0.2">
      <c r="A7" s="6">
        <f>IF(OR(Data_Items!AR7="",Data_Importance!L7=""),"",Data_Items!AR7*Data_Importance!L7)</f>
        <v>0.967741935483871</v>
      </c>
      <c r="B7" s="6">
        <f>IF(OR(Data_Items!AS7="",Data_Importance!M7=""),"",Data_Items!AS7*Data_Importance!M7)</f>
        <v>0.54838709677419351</v>
      </c>
      <c r="C7" s="6">
        <f>IF(OR(Data_Items!AT7="",Data_Importance!N7=""),"",Data_Items!AT7*Data_Importance!N7)</f>
        <v>0.64516129032258063</v>
      </c>
      <c r="D7" s="6">
        <f>IF(OR(Data_Items!AU7="",Data_Importance!O7=""),"",Data_Items!AU7*Data_Importance!O7)</f>
        <v>0.44516129032258062</v>
      </c>
      <c r="E7" s="6">
        <f>IF(OR(Data_Items!AV7="",Data_Importance!P7=""),"",Data_Items!AV7*Data_Importance!P7)</f>
        <v>0.80645161290322576</v>
      </c>
      <c r="F7" s="6">
        <f>IF(OR(Data_Items!AW7="",Data_Importance!Q7=""),"",Data_Items!AW7*Data_Importance!Q7)</f>
        <v>0.68548387096774188</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9.8387096774193772E-2</v>
      </c>
    </row>
    <row r="8" spans="1:12" x14ac:dyDescent="0.2">
      <c r="A8" s="6">
        <f>IF(OR(Data_Items!AR8="",Data_Importance!L8=""),"",Data_Items!AR8*Data_Importance!L8)</f>
        <v>1.024390243902439</v>
      </c>
      <c r="B8" s="6">
        <f>IF(OR(Data_Items!AS8="",Data_Importance!M8=""),"",Data_Items!AS8*Data_Importance!M8)</f>
        <v>0.9390243902439025</v>
      </c>
      <c r="C8" s="6">
        <f>IF(OR(Data_Items!AT8="",Data_Importance!N8=""),"",Data_Items!AT8*Data_Importance!N8)</f>
        <v>0.97560975609756095</v>
      </c>
      <c r="D8" s="6">
        <f>IF(OR(Data_Items!AU8="",Data_Importance!O8=""),"",Data_Items!AU8*Data_Importance!O8)</f>
        <v>0.78048780487804881</v>
      </c>
      <c r="E8" s="6">
        <f>IF(OR(Data_Items!AV8="",Data_Importance!P8=""),"",Data_Items!AV8*Data_Importance!P8)</f>
        <v>0.85365853658536583</v>
      </c>
      <c r="F8" s="6">
        <f>IF(OR(Data_Items!AW8="",Data_Importance!Q8=""),"",Data_Items!AW8*Data_Importance!Q8)</f>
        <v>0.40243902439024387</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0.97560975609756095</v>
      </c>
    </row>
    <row r="9" spans="1:12" x14ac:dyDescent="0.2">
      <c r="A9" s="6">
        <f>IF(OR(Data_Items!AR9="",Data_Importance!L9=""),"",Data_Items!AR9*Data_Importance!L9)</f>
        <v>1</v>
      </c>
      <c r="B9" s="6">
        <f>IF(OR(Data_Items!AS9="",Data_Importance!M9=""),"",Data_Items!AS9*Data_Importance!M9)</f>
        <v>0.14285714285714285</v>
      </c>
      <c r="C9" s="6">
        <f>IF(OR(Data_Items!AT9="",Data_Importance!N9=""),"",Data_Items!AT9*Data_Importance!N9)</f>
        <v>0.14285714285714285</v>
      </c>
      <c r="D9" s="6">
        <f>IF(OR(Data_Items!AU9="",Data_Importance!O9=""),"",Data_Items!AU9*Data_Importance!O9)</f>
        <v>0.19999999999999998</v>
      </c>
      <c r="E9" s="6">
        <f>IF(OR(Data_Items!AV9="",Data_Importance!P9=""),"",Data_Items!AV9*Data_Importance!P9)</f>
        <v>1</v>
      </c>
      <c r="F9" s="6">
        <f>IF(OR(Data_Items!AW9="",Data_Importance!Q9=""),"",Data_Items!AW9*Data_Importance!Q9)</f>
        <v>0.21428571428571427</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-1.2999999999999998</v>
      </c>
    </row>
    <row r="10" spans="1:12" x14ac:dyDescent="0.2">
      <c r="A10" s="6">
        <f>IF(OR(Data_Items!AR10="",Data_Importance!L10=""),"",Data_Items!AR10*Data_Importance!L10)</f>
        <v>0.89743589743589736</v>
      </c>
      <c r="B10" s="6">
        <f>IF(OR(Data_Items!AS10="",Data_Importance!M10=""),"",Data_Items!AS10*Data_Importance!M10)</f>
        <v>0.88461538461538469</v>
      </c>
      <c r="C10" s="6">
        <f>IF(OR(Data_Items!AT10="",Data_Importance!N10=""),"",Data_Items!AT10*Data_Importance!N10)</f>
        <v>0.85470085470085466</v>
      </c>
      <c r="D10" s="6">
        <f>IF(OR(Data_Items!AU10="",Data_Importance!O10=""),"",Data_Items!AU10*Data_Importance!O10)</f>
        <v>0.89230769230769236</v>
      </c>
      <c r="E10" s="6">
        <f>IF(OR(Data_Items!AV10="",Data_Importance!P10=""),"",Data_Items!AV10*Data_Importance!P10)</f>
        <v>1.0769230769230771</v>
      </c>
      <c r="F10" s="6">
        <f>IF(OR(Data_Items!AW10="",Data_Importance!Q10=""),"",Data_Items!AW10*Data_Importance!Q10)</f>
        <v>0.23076923076923078</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0.83675213675213644</v>
      </c>
    </row>
    <row r="11" spans="1:12" x14ac:dyDescent="0.2">
      <c r="A11" s="6">
        <f>IF(OR(Data_Items!AR11="",Data_Importance!L11=""),"",Data_Items!AR11*Data_Importance!L11)</f>
        <v>1.0714285714285714</v>
      </c>
      <c r="B11" s="6">
        <f>IF(OR(Data_Items!AS11="",Data_Importance!M11=""),"",Data_Items!AS11*Data_Importance!M11)</f>
        <v>1.0285714285714285</v>
      </c>
      <c r="C11" s="6">
        <f>IF(OR(Data_Items!AT11="",Data_Importance!N11=""),"",Data_Items!AT11*Data_Importance!N11)</f>
        <v>0.57142857142857151</v>
      </c>
      <c r="D11" s="6">
        <f>IF(OR(Data_Items!AU11="",Data_Importance!O11=""),"",Data_Items!AU11*Data_Importance!O11)</f>
        <v>0.37714285714285717</v>
      </c>
      <c r="E11" s="6">
        <f>IF(OR(Data_Items!AV11="",Data_Importance!P11=""),"",Data_Items!AV11*Data_Importance!P11)</f>
        <v>0.68571428571428572</v>
      </c>
      <c r="F11" s="6">
        <f>IF(OR(Data_Items!AW11="",Data_Importance!Q11=""),"",Data_Items!AW11*Data_Importance!Q11)</f>
        <v>0.3571428571428571</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9.1428571428570748E-2</v>
      </c>
    </row>
    <row r="12" spans="1:12" x14ac:dyDescent="0.2">
      <c r="A12" s="6">
        <f>IF(OR(Data_Items!AR12="",Data_Importance!L12=""),"",Data_Items!AR12*Data_Importance!L12)</f>
        <v>0.84375</v>
      </c>
      <c r="B12" s="6">
        <f>IF(OR(Data_Items!AS12="",Data_Importance!M12=""),"",Data_Items!AS12*Data_Importance!M12)</f>
        <v>0.625</v>
      </c>
      <c r="C12" s="6">
        <f>IF(OR(Data_Items!AT12="",Data_Importance!N12=""),"",Data_Items!AT12*Data_Importance!N12)</f>
        <v>0.5625</v>
      </c>
      <c r="D12" s="6">
        <f>IF(OR(Data_Items!AU12="",Data_Importance!O12=""),"",Data_Items!AU12*Data_Importance!O12)</f>
        <v>0.66666666666666663</v>
      </c>
      <c r="E12" s="6">
        <f>IF(OR(Data_Items!AV12="",Data_Importance!P12=""),"",Data_Items!AV12*Data_Importance!P12)</f>
        <v>0.9151785714285714</v>
      </c>
      <c r="F12" s="6">
        <f>IF(OR(Data_Items!AW12="",Data_Importance!Q12=""),"",Data_Items!AW12*Data_Importance!Q12)</f>
        <v>0.57291666666666663</v>
      </c>
      <c r="G12" s="6">
        <f>IF(OR(Data_Items!AX12="",Data_Importance!R12=""),"",Data_Items!AX12*Data_Importance!R12)</f>
        <v>0.625</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0.8110119047619051</v>
      </c>
    </row>
    <row r="13" spans="1:12" x14ac:dyDescent="0.2">
      <c r="A13" s="6" t="str">
        <f>IF(OR(Data_Items!AR13="",Data_Importance!L13=""),"",Data_Items!AR13*Data_Importance!L13)</f>
        <v/>
      </c>
      <c r="B13" s="6" t="str">
        <f>IF(OR(Data_Items!AS13="",Data_Importance!M13=""),"",Data_Items!AS13*Data_Importance!M13)</f>
        <v/>
      </c>
      <c r="C13" s="6" t="str">
        <f>IF(OR(Data_Items!AT13="",Data_Importance!N13=""),"",Data_Items!AT13*Data_Importance!N13)</f>
        <v/>
      </c>
      <c r="D13" s="6" t="str">
        <f>IF(OR(Data_Items!AU13="",Data_Importance!O13=""),"",Data_Items!AU13*Data_Importance!O13)</f>
        <v/>
      </c>
      <c r="E13" s="6" t="str">
        <f>IF(OR(Data_Items!AV13="",Data_Importance!P13=""),"",Data_Items!AV13*Data_Importance!P13)</f>
        <v/>
      </c>
      <c r="F13" s="6" t="str">
        <f>IF(OR(Data_Items!AW13="",Data_Importance!Q13=""),"",Data_Items!AW13*Data_Importance!Q13)</f>
        <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t="str">
        <f t="shared" si="0"/>
        <v/>
      </c>
    </row>
    <row r="14" spans="1:12" x14ac:dyDescent="0.2">
      <c r="A14" s="6" t="str">
        <f>IF(OR(Data_Items!AR14="",Data_Importance!L14=""),"",Data_Items!AR14*Data_Importance!L14)</f>
        <v/>
      </c>
      <c r="B14" s="6" t="str">
        <f>IF(OR(Data_Items!AS14="",Data_Importance!M14=""),"",Data_Items!AS14*Data_Importance!M14)</f>
        <v/>
      </c>
      <c r="C14" s="6" t="str">
        <f>IF(OR(Data_Items!AT14="",Data_Importance!N14=""),"",Data_Items!AT14*Data_Importance!N14)</f>
        <v/>
      </c>
      <c r="D14" s="6" t="str">
        <f>IF(OR(Data_Items!AU14="",Data_Importance!O14=""),"",Data_Items!AU14*Data_Importance!O14)</f>
        <v/>
      </c>
      <c r="E14" s="6" t="str">
        <f>IF(OR(Data_Items!AV14="",Data_Importance!P14=""),"",Data_Items!AV14*Data_Importance!P14)</f>
        <v/>
      </c>
      <c r="F14" s="6" t="str">
        <f>IF(OR(Data_Items!AW14="",Data_Importance!Q14=""),"",Data_Items!AW14*Data_Importance!Q14)</f>
        <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t="str">
        <f t="shared" si="0"/>
        <v/>
      </c>
    </row>
    <row r="15" spans="1:12" x14ac:dyDescent="0.2">
      <c r="A15" s="6" t="str">
        <f>IF(OR(Data_Items!AR15="",Data_Importance!L15=""),"",Data_Items!AR15*Data_Importance!L15)</f>
        <v/>
      </c>
      <c r="B15" s="6" t="str">
        <f>IF(OR(Data_Items!AS15="",Data_Importance!M15=""),"",Data_Items!AS15*Data_Importance!M15)</f>
        <v/>
      </c>
      <c r="C15" s="6" t="str">
        <f>IF(OR(Data_Items!AT15="",Data_Importance!N15=""),"",Data_Items!AT15*Data_Importance!N15)</f>
        <v/>
      </c>
      <c r="D15" s="6" t="str">
        <f>IF(OR(Data_Items!AU15="",Data_Importance!O15=""),"",Data_Items!AU15*Data_Importance!O15)</f>
        <v/>
      </c>
      <c r="E15" s="6" t="str">
        <f>IF(OR(Data_Items!AV15="",Data_Importance!P15=""),"",Data_Items!AV15*Data_Importance!P15)</f>
        <v/>
      </c>
      <c r="F15" s="6" t="str">
        <f>IF(OR(Data_Items!AW15="",Data_Importance!Q15=""),"",Data_Items!AW15*Data_Importance!Q15)</f>
        <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t="str">
        <f t="shared" si="0"/>
        <v/>
      </c>
    </row>
    <row r="16" spans="1:12" x14ac:dyDescent="0.2">
      <c r="A16" s="6" t="str">
        <f>IF(OR(Data_Items!AR16="",Data_Importance!L16=""),"",Data_Items!AR16*Data_Importance!L16)</f>
        <v/>
      </c>
      <c r="B16" s="6" t="str">
        <f>IF(OR(Data_Items!AS16="",Data_Importance!M16=""),"",Data_Items!AS16*Data_Importance!M16)</f>
        <v/>
      </c>
      <c r="C16" s="6" t="str">
        <f>IF(OR(Data_Items!AT16="",Data_Importance!N16=""),"",Data_Items!AT16*Data_Importance!N16)</f>
        <v/>
      </c>
      <c r="D16" s="6" t="str">
        <f>IF(OR(Data_Items!AU16="",Data_Importance!O16=""),"",Data_Items!AU16*Data_Importance!O16)</f>
        <v/>
      </c>
      <c r="E16" s="6" t="str">
        <f>IF(OR(Data_Items!AV16="",Data_Importance!P16=""),"",Data_Items!AV16*Data_Importance!P16)</f>
        <v/>
      </c>
      <c r="F16" s="6" t="str">
        <f>IF(OR(Data_Items!AW16="",Data_Importance!Q16=""),"",Data_Items!AW16*Data_Importance!Q16)</f>
        <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t="str">
        <f t="shared" si="0"/>
        <v/>
      </c>
    </row>
    <row r="17" spans="1:11" x14ac:dyDescent="0.2">
      <c r="A17" s="6" t="str">
        <f>IF(OR(Data_Items!AR17="",Data_Importance!L17=""),"",Data_Items!AR17*Data_Importance!L17)</f>
        <v/>
      </c>
      <c r="B17" s="6" t="str">
        <f>IF(OR(Data_Items!AS17="",Data_Importance!M17=""),"",Data_Items!AS17*Data_Importance!M17)</f>
        <v/>
      </c>
      <c r="C17" s="6" t="str">
        <f>IF(OR(Data_Items!AT17="",Data_Importance!N17=""),"",Data_Items!AT17*Data_Importance!N17)</f>
        <v/>
      </c>
      <c r="D17" s="6" t="str">
        <f>IF(OR(Data_Items!AU17="",Data_Importance!O17=""),"",Data_Items!AU17*Data_Importance!O17)</f>
        <v/>
      </c>
      <c r="E17" s="6" t="str">
        <f>IF(OR(Data_Items!AV17="",Data_Importance!P17=""),"",Data_Items!AV17*Data_Importance!P17)</f>
        <v/>
      </c>
      <c r="F17" s="6" t="str">
        <f>IF(OR(Data_Items!AW17="",Data_Importance!Q17=""),"",Data_Items!AW17*Data_Importance!Q17)</f>
        <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t="str">
        <f t="shared" si="0"/>
        <v/>
      </c>
    </row>
    <row r="18" spans="1:11" x14ac:dyDescent="0.2">
      <c r="A18" s="6" t="str">
        <f>IF(OR(Data_Items!AR18="",Data_Importance!L18=""),"",Data_Items!AR18*Data_Importance!L18)</f>
        <v/>
      </c>
      <c r="B18" s="6" t="str">
        <f>IF(OR(Data_Items!AS18="",Data_Importance!M18=""),"",Data_Items!AS18*Data_Importance!M18)</f>
        <v/>
      </c>
      <c r="C18" s="6" t="str">
        <f>IF(OR(Data_Items!AT18="",Data_Importance!N18=""),"",Data_Items!AT18*Data_Importance!N18)</f>
        <v/>
      </c>
      <c r="D18" s="6" t="str">
        <f>IF(OR(Data_Items!AU18="",Data_Importance!O18=""),"",Data_Items!AU18*Data_Importance!O18)</f>
        <v/>
      </c>
      <c r="E18" s="6" t="str">
        <f>IF(OR(Data_Items!AV18="",Data_Importance!P18=""),"",Data_Items!AV18*Data_Importance!P18)</f>
        <v/>
      </c>
      <c r="F18" s="6" t="str">
        <f>IF(OR(Data_Items!AW18="",Data_Importance!Q18=""),"",Data_Items!AW18*Data_Importance!Q18)</f>
        <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t="str">
        <f t="shared" si="0"/>
        <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workbookViewId="0">
      <selection activeCell="O18" sqref="O18"/>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Read_First</vt:lpstr>
      <vt:lpstr>Data_Items</vt:lpstr>
      <vt:lpstr>Data_Importance</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2026-06-20T09:42:22Z</dcterms:modified>
</cp:coreProperties>
</file>